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OneDrive\문서\Sustainability Project\Peru_Weather_Stations-20260224T230622Z-3-001\Peru_Weather_Stations\Peru_Lascar_EDW_temperature_humidity-20260224T230645Z-3-001\Peru_Lascar_EDW_temperature_humidity\"/>
    </mc:Choice>
  </mc:AlternateContent>
  <xr:revisionPtr revIDLastSave="0" documentId="13_ncr:1_{ED0F8645-8237-42CC-9FEA-CBD0E9E37FCB}" xr6:coauthVersionLast="47" xr6:coauthVersionMax="47" xr10:uidLastSave="{00000000-0000-0000-0000-000000000000}"/>
  <bookViews>
    <workbookView xWindow="384" yWindow="384" windowWidth="17280" windowHeight="8964" xr2:uid="{B225A1A0-2AF1-4D4A-9F17-ED3F7E32781D}"/>
  </bookViews>
  <sheets>
    <sheet name="Monthly_Temp_LRs_FLs" sheetId="1" r:id="rId1"/>
  </sheets>
  <definedNames>
    <definedName name="_xlnm._FilterDatabase" localSheetId="0" hidden="1">Monthly_Temp_LRs_FLs!#REF!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217" i="1" l="1"/>
  <c r="AI217" i="1"/>
  <c r="AJ216" i="1"/>
  <c r="AI216" i="1"/>
  <c r="AJ215" i="1"/>
  <c r="AI215" i="1"/>
  <c r="AJ214" i="1"/>
  <c r="AI214" i="1"/>
  <c r="AJ213" i="1"/>
  <c r="AI213" i="1"/>
  <c r="AJ212" i="1"/>
  <c r="AI212" i="1"/>
  <c r="AJ211" i="1"/>
  <c r="AI211" i="1"/>
  <c r="AJ210" i="1"/>
  <c r="AI210" i="1"/>
  <c r="AJ209" i="1"/>
  <c r="AI209" i="1"/>
  <c r="AJ208" i="1"/>
  <c r="AI208" i="1"/>
  <c r="AJ207" i="1"/>
  <c r="AI207" i="1"/>
  <c r="AJ206" i="1"/>
  <c r="AI206" i="1"/>
  <c r="AJ205" i="1"/>
  <c r="AI205" i="1"/>
  <c r="AJ204" i="1"/>
  <c r="AI204" i="1"/>
  <c r="AJ203" i="1"/>
  <c r="AI203" i="1"/>
  <c r="AJ202" i="1"/>
  <c r="AI202" i="1"/>
  <c r="AJ201" i="1"/>
  <c r="AI201" i="1"/>
  <c r="AJ200" i="1"/>
  <c r="AI200" i="1"/>
  <c r="AJ199" i="1"/>
  <c r="AI199" i="1"/>
  <c r="AJ198" i="1"/>
  <c r="AI198" i="1"/>
  <c r="AJ197" i="1"/>
  <c r="AI197" i="1"/>
  <c r="AJ196" i="1"/>
  <c r="AI196" i="1"/>
  <c r="AJ195" i="1"/>
  <c r="AI195" i="1"/>
  <c r="AJ194" i="1"/>
  <c r="AI194" i="1"/>
  <c r="AJ193" i="1"/>
  <c r="AI193" i="1"/>
  <c r="AJ192" i="1"/>
  <c r="AI192" i="1"/>
  <c r="AJ180" i="1"/>
  <c r="AI180" i="1"/>
  <c r="AJ179" i="1"/>
  <c r="AI179" i="1"/>
  <c r="AJ178" i="1"/>
  <c r="AI178" i="1"/>
  <c r="AJ177" i="1"/>
  <c r="AI177" i="1"/>
  <c r="AJ176" i="1"/>
  <c r="AI176" i="1"/>
  <c r="AJ175" i="1"/>
  <c r="AI175" i="1"/>
  <c r="AJ174" i="1"/>
  <c r="AI174" i="1"/>
  <c r="AJ173" i="1"/>
  <c r="AI173" i="1"/>
  <c r="AJ172" i="1"/>
  <c r="AI172" i="1"/>
  <c r="AJ171" i="1"/>
  <c r="AI171" i="1"/>
  <c r="AJ170" i="1"/>
  <c r="AI170" i="1"/>
  <c r="AJ169" i="1"/>
  <c r="AI169" i="1"/>
  <c r="AJ168" i="1"/>
  <c r="AI168" i="1"/>
  <c r="AJ167" i="1"/>
  <c r="AI167" i="1"/>
  <c r="AJ166" i="1"/>
  <c r="AI166" i="1"/>
  <c r="AJ165" i="1"/>
  <c r="AI165" i="1"/>
  <c r="AJ164" i="1"/>
  <c r="AI164" i="1"/>
  <c r="AJ163" i="1"/>
  <c r="AI163" i="1"/>
  <c r="AJ162" i="1"/>
  <c r="AI162" i="1"/>
  <c r="AJ161" i="1"/>
  <c r="AI161" i="1"/>
  <c r="AJ160" i="1"/>
  <c r="AI160" i="1"/>
  <c r="AJ159" i="1"/>
  <c r="AI159" i="1"/>
  <c r="AJ158" i="1"/>
  <c r="AI158" i="1"/>
  <c r="AJ157" i="1"/>
  <c r="AI157" i="1"/>
  <c r="AJ156" i="1"/>
  <c r="AI156" i="1"/>
  <c r="AJ155" i="1"/>
  <c r="AI155" i="1"/>
  <c r="AJ154" i="1"/>
  <c r="AI154" i="1"/>
  <c r="AJ153" i="1"/>
  <c r="AI153" i="1"/>
  <c r="AJ152" i="1"/>
  <c r="AI152" i="1"/>
  <c r="AJ151" i="1"/>
  <c r="AI151" i="1"/>
  <c r="AJ150" i="1"/>
  <c r="AI150" i="1"/>
  <c r="AJ149" i="1"/>
  <c r="AI149" i="1"/>
  <c r="AJ148" i="1"/>
  <c r="AI148" i="1"/>
  <c r="AJ147" i="1"/>
  <c r="AI147" i="1"/>
  <c r="AJ146" i="1"/>
  <c r="AI146" i="1"/>
  <c r="AJ145" i="1"/>
  <c r="AI145" i="1"/>
  <c r="AJ144" i="1"/>
  <c r="AI144" i="1"/>
  <c r="AJ143" i="1"/>
  <c r="AI143" i="1"/>
  <c r="AJ142" i="1"/>
  <c r="AI142" i="1"/>
  <c r="AJ141" i="1"/>
  <c r="AI141" i="1"/>
  <c r="AJ140" i="1"/>
  <c r="AI140" i="1"/>
  <c r="AJ139" i="1"/>
  <c r="AI139" i="1"/>
  <c r="AJ138" i="1"/>
  <c r="AI138" i="1"/>
  <c r="AJ137" i="1"/>
  <c r="AI137" i="1"/>
  <c r="AJ136" i="1"/>
  <c r="AI136" i="1"/>
  <c r="AJ135" i="1"/>
  <c r="AI135" i="1"/>
  <c r="AJ134" i="1"/>
  <c r="AI134" i="1"/>
  <c r="AJ133" i="1"/>
  <c r="AI133" i="1"/>
  <c r="AJ132" i="1"/>
  <c r="AI132" i="1"/>
  <c r="AJ131" i="1"/>
  <c r="AI131" i="1"/>
  <c r="AJ130" i="1"/>
  <c r="AI130" i="1"/>
  <c r="AJ129" i="1"/>
  <c r="AI129" i="1"/>
  <c r="AJ128" i="1"/>
  <c r="AI128" i="1"/>
  <c r="AJ127" i="1"/>
  <c r="AI127" i="1"/>
  <c r="AJ126" i="1"/>
  <c r="AI126" i="1"/>
  <c r="AJ125" i="1"/>
  <c r="AI125" i="1"/>
  <c r="AJ124" i="1"/>
  <c r="AI124" i="1"/>
  <c r="AJ123" i="1"/>
  <c r="AI123" i="1"/>
  <c r="AJ122" i="1"/>
  <c r="AI122" i="1"/>
  <c r="AJ121" i="1"/>
  <c r="AI121" i="1"/>
  <c r="AJ120" i="1"/>
  <c r="AI120" i="1"/>
  <c r="AJ119" i="1"/>
  <c r="AI119" i="1"/>
  <c r="AJ118" i="1"/>
  <c r="AI118" i="1"/>
  <c r="AJ117" i="1"/>
  <c r="AI117" i="1"/>
  <c r="AJ116" i="1"/>
  <c r="AI116" i="1"/>
  <c r="AJ115" i="1"/>
  <c r="AI115" i="1"/>
  <c r="AJ114" i="1"/>
  <c r="AI114" i="1"/>
  <c r="AJ113" i="1"/>
  <c r="AI113" i="1"/>
  <c r="AJ112" i="1"/>
  <c r="AI112" i="1"/>
  <c r="AJ111" i="1"/>
  <c r="AI111" i="1"/>
  <c r="AJ110" i="1"/>
  <c r="AI110" i="1"/>
  <c r="AJ109" i="1"/>
  <c r="AI109" i="1"/>
  <c r="AJ108" i="1"/>
  <c r="AI108" i="1"/>
  <c r="AJ107" i="1"/>
  <c r="AI107" i="1"/>
  <c r="AJ106" i="1"/>
  <c r="AI106" i="1"/>
  <c r="AJ105" i="1"/>
  <c r="AI105" i="1"/>
  <c r="AJ104" i="1"/>
  <c r="AI104" i="1"/>
  <c r="AJ103" i="1"/>
  <c r="AI103" i="1"/>
  <c r="AJ102" i="1"/>
  <c r="AI102" i="1"/>
  <c r="AJ101" i="1"/>
  <c r="AI101" i="1"/>
  <c r="AJ100" i="1"/>
  <c r="AI100" i="1"/>
  <c r="AJ99" i="1"/>
  <c r="AI99" i="1"/>
  <c r="AJ98" i="1"/>
  <c r="AI98" i="1"/>
  <c r="AJ97" i="1"/>
  <c r="AI97" i="1"/>
  <c r="AJ96" i="1"/>
  <c r="AI96" i="1"/>
  <c r="AJ95" i="1"/>
  <c r="AI95" i="1"/>
  <c r="AJ94" i="1"/>
  <c r="AI94" i="1"/>
  <c r="AJ93" i="1"/>
  <c r="AI93" i="1"/>
  <c r="AJ92" i="1"/>
  <c r="AI92" i="1"/>
  <c r="AJ91" i="1"/>
  <c r="AI91" i="1"/>
  <c r="AJ90" i="1"/>
  <c r="AI90" i="1"/>
  <c r="AJ89" i="1"/>
  <c r="AI89" i="1"/>
  <c r="AJ88" i="1"/>
  <c r="AI88" i="1"/>
  <c r="AJ87" i="1"/>
  <c r="AI87" i="1"/>
  <c r="AJ86" i="1"/>
  <c r="AI86" i="1"/>
  <c r="AJ74" i="1"/>
  <c r="AI74" i="1"/>
  <c r="AJ73" i="1"/>
  <c r="AI73" i="1"/>
  <c r="AJ72" i="1"/>
  <c r="AI72" i="1"/>
  <c r="AJ71" i="1"/>
  <c r="AI71" i="1"/>
  <c r="AJ70" i="1"/>
  <c r="AI70" i="1"/>
  <c r="AJ69" i="1"/>
  <c r="AI69" i="1"/>
  <c r="AJ68" i="1"/>
  <c r="AI68" i="1"/>
  <c r="AJ67" i="1"/>
  <c r="AI67" i="1"/>
  <c r="AJ66" i="1"/>
  <c r="AI66" i="1"/>
  <c r="AJ65" i="1"/>
  <c r="AI65" i="1"/>
  <c r="AJ64" i="1"/>
  <c r="AI64" i="1"/>
  <c r="AJ63" i="1"/>
  <c r="AI63" i="1"/>
  <c r="AJ62" i="1"/>
  <c r="AI62" i="1"/>
  <c r="AJ61" i="1"/>
  <c r="AI61" i="1"/>
  <c r="AJ60" i="1"/>
  <c r="AI60" i="1"/>
  <c r="AJ59" i="1"/>
  <c r="AI59" i="1"/>
  <c r="AJ58" i="1"/>
  <c r="AI58" i="1"/>
  <c r="AJ57" i="1"/>
  <c r="AI57" i="1"/>
  <c r="AJ56" i="1"/>
  <c r="AI56" i="1"/>
  <c r="AJ55" i="1"/>
  <c r="AI55" i="1"/>
  <c r="AJ54" i="1"/>
  <c r="AI54" i="1"/>
  <c r="AJ53" i="1"/>
  <c r="AI53" i="1"/>
  <c r="AJ52" i="1"/>
  <c r="AI52" i="1"/>
  <c r="AJ51" i="1"/>
  <c r="AI51" i="1"/>
  <c r="AJ50" i="1"/>
  <c r="AI50" i="1"/>
  <c r="AJ49" i="1"/>
  <c r="AI49" i="1"/>
  <c r="AJ48" i="1"/>
  <c r="AI48" i="1"/>
  <c r="AJ47" i="1"/>
  <c r="AI47" i="1"/>
  <c r="AJ46" i="1"/>
  <c r="AI46" i="1"/>
  <c r="AJ45" i="1"/>
  <c r="AI45" i="1"/>
  <c r="AJ44" i="1"/>
  <c r="AI44" i="1"/>
  <c r="AJ43" i="1"/>
  <c r="AI43" i="1"/>
  <c r="AJ42" i="1"/>
  <c r="AI42" i="1"/>
  <c r="AJ41" i="1"/>
  <c r="AI41" i="1"/>
  <c r="AJ40" i="1"/>
  <c r="AI40" i="1"/>
  <c r="AJ39" i="1"/>
  <c r="AI39" i="1"/>
  <c r="AJ38" i="1"/>
  <c r="AI38" i="1"/>
  <c r="AJ37" i="1"/>
  <c r="AI37" i="1"/>
  <c r="AJ36" i="1"/>
  <c r="AI36" i="1"/>
  <c r="AJ35" i="1"/>
  <c r="AI35" i="1"/>
  <c r="AJ34" i="1"/>
  <c r="AI34" i="1"/>
  <c r="AJ33" i="1"/>
  <c r="AI33" i="1"/>
  <c r="AJ32" i="1"/>
  <c r="AI32" i="1"/>
  <c r="AJ31" i="1"/>
  <c r="AI31" i="1"/>
  <c r="AJ30" i="1"/>
  <c r="AI30" i="1"/>
  <c r="AJ29" i="1"/>
  <c r="AI29" i="1"/>
  <c r="AJ28" i="1"/>
  <c r="AI28" i="1"/>
  <c r="AJ27" i="1"/>
  <c r="AI27" i="1"/>
  <c r="AJ26" i="1"/>
  <c r="AI26" i="1"/>
  <c r="AJ25" i="1"/>
  <c r="AI25" i="1"/>
  <c r="AJ24" i="1"/>
  <c r="AI24" i="1"/>
  <c r="AJ23" i="1"/>
  <c r="AI23" i="1"/>
  <c r="AJ22" i="1"/>
  <c r="AI22" i="1"/>
  <c r="AJ21" i="1"/>
  <c r="AI21" i="1"/>
  <c r="AJ20" i="1"/>
  <c r="AI20" i="1"/>
  <c r="AJ19" i="1"/>
  <c r="AI19" i="1"/>
  <c r="AJ18" i="1"/>
  <c r="AI18" i="1"/>
  <c r="AJ17" i="1"/>
  <c r="AI17" i="1"/>
  <c r="AJ16" i="1"/>
  <c r="AI16" i="1"/>
  <c r="AJ15" i="1"/>
  <c r="AI15" i="1"/>
  <c r="AJ14" i="1"/>
  <c r="AI14" i="1"/>
  <c r="AJ13" i="1"/>
  <c r="AI13" i="1"/>
  <c r="AJ12" i="1"/>
  <c r="AI12" i="1"/>
  <c r="AJ11" i="1"/>
  <c r="AI11" i="1"/>
  <c r="AJ10" i="1"/>
  <c r="AI10" i="1"/>
  <c r="AJ9" i="1"/>
  <c r="AI9" i="1"/>
  <c r="AJ8" i="1"/>
  <c r="AI8" i="1"/>
  <c r="AJ7" i="1"/>
  <c r="AI7" i="1"/>
  <c r="AJ6" i="1"/>
  <c r="AI6" i="1"/>
  <c r="AJ5" i="1"/>
  <c r="AI5" i="1"/>
  <c r="AJ4" i="1"/>
  <c r="AI4" i="1"/>
  <c r="AJ3" i="1"/>
  <c r="AI3" i="1"/>
  <c r="I217" i="1"/>
  <c r="H217" i="1"/>
  <c r="I216" i="1"/>
  <c r="H216" i="1"/>
  <c r="I215" i="1"/>
  <c r="H215" i="1"/>
  <c r="I214" i="1"/>
  <c r="H214" i="1"/>
  <c r="I213" i="1"/>
  <c r="H213" i="1"/>
  <c r="I212" i="1"/>
  <c r="H212" i="1"/>
  <c r="I211" i="1"/>
  <c r="H211" i="1"/>
  <c r="I210" i="1"/>
  <c r="H210" i="1"/>
  <c r="I209" i="1"/>
  <c r="H209" i="1"/>
  <c r="I208" i="1"/>
  <c r="H208" i="1"/>
  <c r="I207" i="1"/>
  <c r="H207" i="1"/>
  <c r="I206" i="1"/>
  <c r="H206" i="1"/>
  <c r="I205" i="1"/>
  <c r="H205" i="1"/>
  <c r="I204" i="1"/>
  <c r="H204" i="1"/>
  <c r="I203" i="1"/>
  <c r="H203" i="1"/>
  <c r="I202" i="1"/>
  <c r="H202" i="1"/>
  <c r="I201" i="1"/>
  <c r="H201" i="1"/>
  <c r="I200" i="1"/>
  <c r="H200" i="1"/>
  <c r="I199" i="1"/>
  <c r="H199" i="1"/>
  <c r="I198" i="1"/>
  <c r="H198" i="1"/>
  <c r="I197" i="1"/>
  <c r="H197" i="1"/>
  <c r="I196" i="1"/>
  <c r="H196" i="1"/>
  <c r="I195" i="1"/>
  <c r="H195" i="1"/>
  <c r="I194" i="1"/>
  <c r="H194" i="1"/>
  <c r="I193" i="1"/>
  <c r="H193" i="1"/>
  <c r="I192" i="1"/>
  <c r="H192" i="1"/>
  <c r="I180" i="1"/>
  <c r="H180" i="1"/>
  <c r="I179" i="1"/>
  <c r="H179" i="1"/>
  <c r="I178" i="1"/>
  <c r="H178" i="1"/>
  <c r="I177" i="1"/>
  <c r="H177" i="1"/>
  <c r="I176" i="1"/>
  <c r="H176" i="1"/>
  <c r="I175" i="1"/>
  <c r="H175" i="1"/>
  <c r="I174" i="1"/>
  <c r="H174" i="1"/>
  <c r="I173" i="1"/>
  <c r="H173" i="1"/>
  <c r="I172" i="1"/>
  <c r="H172" i="1"/>
  <c r="I171" i="1"/>
  <c r="H171" i="1"/>
  <c r="I170" i="1"/>
  <c r="H170" i="1"/>
  <c r="I169" i="1"/>
  <c r="H169" i="1"/>
  <c r="I168" i="1"/>
  <c r="H168" i="1"/>
  <c r="I167" i="1"/>
  <c r="H167" i="1"/>
  <c r="I166" i="1"/>
  <c r="H166" i="1"/>
  <c r="I165" i="1"/>
  <c r="H165" i="1"/>
  <c r="I164" i="1"/>
  <c r="H164" i="1"/>
  <c r="I163" i="1"/>
  <c r="H163" i="1"/>
  <c r="I162" i="1"/>
  <c r="H162" i="1"/>
  <c r="I161" i="1"/>
  <c r="H161" i="1"/>
  <c r="I160" i="1"/>
  <c r="H160" i="1"/>
  <c r="I159" i="1"/>
  <c r="H159" i="1"/>
  <c r="I158" i="1"/>
  <c r="H158" i="1"/>
  <c r="I157" i="1"/>
  <c r="H157" i="1"/>
  <c r="I156" i="1"/>
  <c r="H156" i="1"/>
  <c r="I155" i="1"/>
  <c r="H155" i="1"/>
  <c r="I154" i="1"/>
  <c r="H154" i="1"/>
  <c r="I153" i="1"/>
  <c r="H153" i="1"/>
  <c r="I152" i="1"/>
  <c r="H152" i="1"/>
  <c r="I151" i="1"/>
  <c r="H151" i="1"/>
  <c r="I150" i="1"/>
  <c r="H150" i="1"/>
  <c r="I149" i="1"/>
  <c r="H149" i="1"/>
  <c r="I148" i="1"/>
  <c r="H148" i="1"/>
  <c r="I147" i="1"/>
  <c r="H147" i="1"/>
  <c r="I146" i="1"/>
  <c r="H146" i="1"/>
  <c r="I145" i="1"/>
  <c r="H145" i="1"/>
  <c r="I144" i="1"/>
  <c r="H144" i="1"/>
  <c r="I143" i="1"/>
  <c r="H143" i="1"/>
  <c r="I142" i="1"/>
  <c r="H142" i="1"/>
  <c r="I141" i="1"/>
  <c r="H141" i="1"/>
  <c r="I140" i="1"/>
  <c r="H140" i="1"/>
  <c r="I139" i="1"/>
  <c r="H139" i="1"/>
  <c r="I138" i="1"/>
  <c r="H138" i="1"/>
  <c r="I137" i="1"/>
  <c r="H137" i="1"/>
  <c r="I136" i="1"/>
  <c r="H136" i="1"/>
  <c r="I135" i="1"/>
  <c r="H135" i="1"/>
  <c r="I134" i="1"/>
  <c r="H134" i="1"/>
  <c r="I133" i="1"/>
  <c r="H133" i="1"/>
  <c r="I132" i="1"/>
  <c r="H132" i="1"/>
  <c r="I131" i="1"/>
  <c r="H131" i="1"/>
  <c r="I130" i="1"/>
  <c r="H130" i="1"/>
  <c r="I129" i="1"/>
  <c r="H129" i="1"/>
  <c r="I128" i="1"/>
  <c r="H128" i="1"/>
  <c r="I127" i="1"/>
  <c r="H127" i="1"/>
  <c r="I126" i="1"/>
  <c r="H126" i="1"/>
  <c r="I125" i="1"/>
  <c r="H125" i="1"/>
  <c r="I124" i="1"/>
  <c r="H124" i="1"/>
  <c r="I123" i="1"/>
  <c r="H123" i="1"/>
  <c r="I122" i="1"/>
  <c r="H122" i="1"/>
  <c r="I121" i="1"/>
  <c r="H121" i="1"/>
  <c r="I120" i="1"/>
  <c r="H120" i="1"/>
  <c r="I119" i="1"/>
  <c r="H119" i="1"/>
  <c r="I118" i="1"/>
  <c r="H118" i="1"/>
  <c r="I117" i="1"/>
  <c r="H117" i="1"/>
  <c r="I116" i="1"/>
  <c r="H116" i="1"/>
  <c r="I115" i="1"/>
  <c r="H115" i="1"/>
  <c r="I114" i="1"/>
  <c r="H114" i="1"/>
  <c r="I113" i="1"/>
  <c r="H113" i="1"/>
  <c r="I112" i="1"/>
  <c r="H112" i="1"/>
  <c r="I111" i="1"/>
  <c r="H111" i="1"/>
  <c r="I110" i="1"/>
  <c r="H110" i="1"/>
  <c r="I109" i="1"/>
  <c r="H109" i="1"/>
  <c r="I108" i="1"/>
  <c r="H108" i="1"/>
  <c r="I107" i="1"/>
  <c r="H107" i="1"/>
  <c r="I106" i="1"/>
  <c r="H106" i="1"/>
  <c r="I105" i="1"/>
  <c r="H105" i="1"/>
  <c r="I104" i="1"/>
  <c r="H104" i="1"/>
  <c r="I103" i="1"/>
  <c r="H103" i="1"/>
  <c r="I102" i="1"/>
  <c r="H102" i="1"/>
  <c r="I101" i="1"/>
  <c r="H101" i="1"/>
  <c r="I100" i="1"/>
  <c r="H100" i="1"/>
  <c r="I99" i="1"/>
  <c r="H99" i="1"/>
  <c r="I98" i="1"/>
  <c r="H98" i="1"/>
  <c r="I97" i="1"/>
  <c r="H97" i="1"/>
  <c r="I96" i="1"/>
  <c r="H96" i="1"/>
  <c r="I95" i="1"/>
  <c r="H95" i="1"/>
  <c r="I94" i="1"/>
  <c r="H94" i="1"/>
  <c r="I93" i="1"/>
  <c r="H93" i="1"/>
  <c r="I92" i="1"/>
  <c r="H92" i="1"/>
  <c r="I91" i="1"/>
  <c r="H91" i="1"/>
  <c r="I90" i="1"/>
  <c r="H90" i="1"/>
  <c r="I89" i="1"/>
  <c r="H89" i="1"/>
  <c r="I88" i="1"/>
  <c r="H88" i="1"/>
  <c r="I87" i="1"/>
  <c r="H87" i="1"/>
  <c r="I86" i="1"/>
  <c r="H86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I66" i="1"/>
  <c r="H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</calcChain>
</file>

<file path=xl/sharedStrings.xml><?xml version="1.0" encoding="utf-8"?>
<sst xmlns="http://schemas.openxmlformats.org/spreadsheetml/2006/main" count="180" uniqueCount="80">
  <si>
    <t>REF:  https://climatedataguide.ucar.edu/climate-data/nino-sst-indices-nino-12-3-34-4-oni-and-tni</t>
  </si>
  <si>
    <t>LlanWX</t>
  </si>
  <si>
    <t>T Llanup1A(Jun15-)</t>
  </si>
  <si>
    <t>T Llanup2</t>
  </si>
  <si>
    <t>T Llanup3</t>
  </si>
  <si>
    <t>T Llanup4</t>
  </si>
  <si>
    <t>T LlanPort</t>
  </si>
  <si>
    <t>DP LlanWX</t>
  </si>
  <si>
    <t>DP Llanup1A(Jun15-)</t>
  </si>
  <si>
    <t>DP Llanup2</t>
  </si>
  <si>
    <t>DP Llanup3</t>
  </si>
  <si>
    <t>DP Llanup4</t>
  </si>
  <si>
    <t>DP LlanPort</t>
  </si>
  <si>
    <t>RH LlanWX</t>
  </si>
  <si>
    <t>RH Llanup1A(Jun15-)</t>
  </si>
  <si>
    <t>RH Llanup2</t>
  </si>
  <si>
    <t>RH Llanup3</t>
  </si>
  <si>
    <t>RH Llanup4</t>
  </si>
  <si>
    <t>RH LlanPort</t>
  </si>
  <si>
    <t>Lower Lake WX</t>
  </si>
  <si>
    <t xml:space="preserve">ref: https://origin.cpc.ncep.noaa.gov/products/analysis_monitoring/ensostuff/ONI_v5.php </t>
  </si>
  <si>
    <t xml:space="preserve">ref: https://psl.noaa.gov/data/correlation/tni.data+EL:EN </t>
  </si>
  <si>
    <t>Nino 1.2-Nino4</t>
  </si>
  <si>
    <t xml:space="preserve">ref: https://legacy.bas.ac.uk/met/gjma/sam.html </t>
  </si>
  <si>
    <t>ref: https://www.cpc.ncep.noaa.gov/products/precip/CWlink/pna/norm.nao.monthly.b5001.current.ascii.table</t>
  </si>
  <si>
    <t>Month-YR</t>
  </si>
  <si>
    <t>Elevation at Temp = 0</t>
  </si>
  <si>
    <t>Lapse Rate</t>
  </si>
  <si>
    <t>WindSpeed(m/s)</t>
  </si>
  <si>
    <t>Solar Radiation (W/m2)</t>
  </si>
  <si>
    <t>Precipitation (mm)</t>
  </si>
  <si>
    <t>Air Temp (C)</t>
  </si>
  <si>
    <t>Dew Point (C)</t>
  </si>
  <si>
    <t>Summed Discharge</t>
  </si>
  <si>
    <t>Average Discharge</t>
  </si>
  <si>
    <t>Ocean Nino Index (ONI)</t>
  </si>
  <si>
    <t>Southern Oscillation Index (SOI)</t>
  </si>
  <si>
    <t>Nino4  Ocean Temp</t>
  </si>
  <si>
    <t>Nino3.4 Ocean Temp</t>
  </si>
  <si>
    <t>Nino1+2 Ocean Temp</t>
  </si>
  <si>
    <t>Trans Nino Index (TNI)</t>
  </si>
  <si>
    <t>Pacific North American Index (PNA)</t>
  </si>
  <si>
    <t>Southern Annular Mode (SAM)</t>
  </si>
  <si>
    <t>North Atlantic Oscillation (NAO)</t>
  </si>
  <si>
    <t>Year (ONI)</t>
  </si>
  <si>
    <t>DJF</t>
  </si>
  <si>
    <t>JFM</t>
  </si>
  <si>
    <t>FMA</t>
  </si>
  <si>
    <t>MAM</t>
  </si>
  <si>
    <t>AMJ</t>
  </si>
  <si>
    <t>MJJ</t>
  </si>
  <si>
    <t>JJA</t>
  </si>
  <si>
    <t>JAS</t>
  </si>
  <si>
    <t>ASO</t>
  </si>
  <si>
    <t>SON</t>
  </si>
  <si>
    <t>OND</t>
  </si>
  <si>
    <t>NDJ</t>
  </si>
  <si>
    <t>Year (Nino4)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</si>
  <si>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</si>
  <si>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</si>
  <si>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</si>
  <si>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</si>
  <si>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</si>
  <si>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</si>
  <si>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</si>
  <si>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</si>
  <si>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</si>
  <si>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</si>
  <si>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</si>
  <si>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</si>
  <si>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 (Nino1+2)</t>
  </si>
  <si>
    <t>Year (Nino 3.4)</t>
  </si>
  <si>
    <t>Year (TNI)</t>
  </si>
  <si>
    <t>Year (PNA)</t>
  </si>
  <si>
    <t>Year (SAM)</t>
  </si>
  <si>
    <t>Year (NAO)</t>
  </si>
  <si>
    <t>AVERAGES</t>
  </si>
  <si>
    <t>MINIMUM Corected</t>
  </si>
  <si>
    <t>Elevation at T = 0</t>
  </si>
  <si>
    <t>Min Air Temp LR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</si>
</sst>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0">
    <font>
      <sz val="10"/>
      <name val="Arial"/>
      <family val="2"/>
    </font>
    <font>
      <sz val="10"/>
      <name val="Arial"/>
      <family val="2"/>
    </font>
    <font>
      <sz val="11"/>
      <name val="Calibri"/>
      <family val="2"/>
    </font>
    <font>
      <b/>
      <sz val="11"/>
      <name val="Calibri"/>
      <family val="2"/>
    </font>
    <font>
      <i/>
      <sz val="10"/>
      <name val="Arial"/>
      <family val="2"/>
    </font>
    <font>
      <b/>
      <sz val="10"/>
      <name val="Verdana"/>
      <family val="2"/>
    </font>
    <font>
      <b/>
      <sz val="10"/>
      <name val="Arial"/>
      <family val="2"/>
    </font>
    <font>
      <b/>
      <sz val="10"/>
      <color rgb="FF000000"/>
      <name val="Arial Unicode MS"/>
      <family val="2"/>
    </font>
    <font>
      <sz val="10"/>
      <color rgb="FF000000"/>
      <name val="Arial"/>
      <family val="2"/>
    </font>
    <font>
      <b/>
      <sz val="10"/>
      <color rgb="FF0000FF"/>
      <name val="Verdana"/>
      <family val="2"/>
    </font>
    <font>
      <sz val="10"/>
      <color rgb="FF000000"/>
      <name val="Arial Unicode MS"/>
      <family val="2"/>
    </font>
    <font>
      <b/>
      <sz val="10"/>
      <color rgb="FFFF0000"/>
      <name val="Arial"/>
      <family val="2"/>
    </font>
    <font>
      <sz val="10"/>
      <color rgb="FF000000"/>
      <name val="Verdana"/>
      <family val="2"/>
    </font>
    <font>
      <b/>
      <sz val="10"/>
      <color rgb="FFFF0000"/>
      <name val="Verdana"/>
      <family val="2"/>
    </font>
    <font>
      <b/>
      <sz val="10"/>
      <color rgb="FF0000FF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rgb="FFFF0000"/>
      <name val="Arial"/>
      <family val="2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176" fontId="1" fillId="0" borderId="0" xfId="0" applyNumberFormat="1" applyFont="1" applyAlignment="1">
      <alignment wrapText="1"/>
    </xf>
    <xf numFmtId="176" fontId="0" fillId="0" borderId="0" xfId="0" applyNumberFormat="1"/>
    <xf numFmtId="176" fontId="1" fillId="0" borderId="0" xfId="0" applyNumberFormat="1" applyFont="1"/>
    <xf numFmtId="0" fontId="2" fillId="0" borderId="1" xfId="0" applyFont="1" applyBorder="1" applyAlignment="1">
      <alignment wrapText="1"/>
    </xf>
    <xf numFmtId="176" fontId="2" fillId="0" borderId="1" xfId="0" applyNumberFormat="1" applyFont="1" applyBorder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49" fontId="4" fillId="0" borderId="0" xfId="0" applyNumberFormat="1" applyFont="1" applyAlignment="1">
      <alignment horizontal="center" vertical="top" wrapText="1"/>
    </xf>
    <xf numFmtId="0" fontId="5" fillId="0" borderId="2" xfId="0" applyFont="1" applyBorder="1" applyAlignment="1">
      <alignment horizontal="center" vertical="center" wrapText="1"/>
    </xf>
    <xf numFmtId="49" fontId="6" fillId="0" borderId="0" xfId="0" applyNumberFormat="1" applyFont="1" applyAlignment="1" applyProtection="1">
      <alignment horizontal="center" vertical="center" wrapText="1"/>
      <protection locked="0"/>
    </xf>
    <xf numFmtId="0" fontId="7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 wrapText="1"/>
    </xf>
    <xf numFmtId="49" fontId="6" fillId="0" borderId="0" xfId="0" applyNumberFormat="1" applyFont="1" applyAlignment="1" applyProtection="1">
      <alignment horizontal="center" vertical="center"/>
      <protection locked="0"/>
    </xf>
    <xf numFmtId="49" fontId="4" fillId="0" borderId="0" xfId="0" applyNumberFormat="1" applyFont="1" applyAlignment="1">
      <alignment horizontal="center" wrapText="1"/>
    </xf>
    <xf numFmtId="49" fontId="0" fillId="0" borderId="0" xfId="0" applyNumberFormat="1"/>
    <xf numFmtId="49" fontId="1" fillId="0" borderId="0" xfId="0" applyNumberFormat="1" applyFont="1"/>
    <xf numFmtId="49" fontId="0" fillId="0" borderId="0" xfId="0" applyNumberFormat="1" applyProtection="1">
      <protection locked="0"/>
    </xf>
    <xf numFmtId="17" fontId="2" fillId="0" borderId="1" xfId="0" applyNumberFormat="1" applyFont="1" applyBorder="1" applyAlignment="1">
      <alignment wrapText="1"/>
    </xf>
    <xf numFmtId="0" fontId="2" fillId="0" borderId="0" xfId="0" applyFont="1" applyAlignment="1">
      <alignment vertical="center" wrapText="1"/>
    </xf>
    <xf numFmtId="0" fontId="8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9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3" xfId="0" applyBorder="1"/>
    <xf numFmtId="0" fontId="0" fillId="0" borderId="4" xfId="0" applyBorder="1"/>
    <xf numFmtId="0" fontId="15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176" fontId="2" fillId="0" borderId="0" xfId="0" applyNumberFormat="1" applyFont="1" applyAlignment="1">
      <alignment horizontal="right" wrapText="1"/>
    </xf>
    <xf numFmtId="176" fontId="2" fillId="0" borderId="1" xfId="0" applyNumberFormat="1" applyFont="1" applyBorder="1" applyAlignment="1">
      <alignment horizontal="right" wrapText="1"/>
    </xf>
    <xf numFmtId="0" fontId="15" fillId="0" borderId="2" xfId="0" applyFont="1" applyBorder="1" applyAlignment="1">
      <alignment horizontal="center" wrapText="1"/>
    </xf>
    <xf numFmtId="0" fontId="15" fillId="0" borderId="0" xfId="0" applyFont="1" applyAlignment="1">
      <alignment horizontal="center"/>
    </xf>
    <xf numFmtId="0" fontId="13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right" wrapText="1"/>
    </xf>
    <xf numFmtId="176" fontId="0" fillId="2" borderId="0" xfId="0" applyNumberFormat="1" applyFill="1"/>
    <xf numFmtId="176" fontId="1" fillId="2" borderId="0" xfId="0" applyNumberFormat="1" applyFont="1" applyFill="1" applyAlignment="1">
      <alignment wrapText="1"/>
    </xf>
    <xf numFmtId="176" fontId="0" fillId="0" borderId="0" xfId="0" applyNumberFormat="1" applyAlignment="1">
      <alignment horizontal="center"/>
    </xf>
    <xf numFmtId="176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Lapse Rate</a:t>
            </a:r>
            <a:r>
              <a:rPr lang="en-US" baseline="0"/>
              <a:t> and Summed Discharge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Monthly_Temp_LRs_FLs!$I$2</c:f>
              <c:strCache>
                <c:ptCount val="1"/>
                <c:pt idx="0">
                  <c:v>Lapse 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Monthly_Temp_LRs_FLs!$A$3:$A$157</c:f>
              <c:numCache>
                <c:formatCode>mmm\-yy</c:formatCode>
                <c:ptCount val="155"/>
                <c:pt idx="0">
                  <c:v>38930</c:v>
                </c:pt>
                <c:pt idx="1">
                  <c:v>38961</c:v>
                </c:pt>
                <c:pt idx="2">
                  <c:v>38991</c:v>
                </c:pt>
                <c:pt idx="3">
                  <c:v>39022</c:v>
                </c:pt>
                <c:pt idx="4">
                  <c:v>39052</c:v>
                </c:pt>
                <c:pt idx="5">
                  <c:v>39083</c:v>
                </c:pt>
                <c:pt idx="6">
                  <c:v>39114</c:v>
                </c:pt>
                <c:pt idx="7">
                  <c:v>39142</c:v>
                </c:pt>
                <c:pt idx="8">
                  <c:v>39173</c:v>
                </c:pt>
                <c:pt idx="9">
                  <c:v>39203</c:v>
                </c:pt>
                <c:pt idx="10">
                  <c:v>39234</c:v>
                </c:pt>
                <c:pt idx="11">
                  <c:v>39264</c:v>
                </c:pt>
                <c:pt idx="12">
                  <c:v>39295</c:v>
                </c:pt>
                <c:pt idx="13">
                  <c:v>39326</c:v>
                </c:pt>
                <c:pt idx="14">
                  <c:v>39356</c:v>
                </c:pt>
                <c:pt idx="15">
                  <c:v>39387</c:v>
                </c:pt>
                <c:pt idx="16">
                  <c:v>39417</c:v>
                </c:pt>
                <c:pt idx="17">
                  <c:v>39448</c:v>
                </c:pt>
                <c:pt idx="18">
                  <c:v>39479</c:v>
                </c:pt>
                <c:pt idx="19">
                  <c:v>39508</c:v>
                </c:pt>
                <c:pt idx="20">
                  <c:v>39539</c:v>
                </c:pt>
                <c:pt idx="21">
                  <c:v>39569</c:v>
                </c:pt>
                <c:pt idx="22">
                  <c:v>39600</c:v>
                </c:pt>
                <c:pt idx="23">
                  <c:v>39630</c:v>
                </c:pt>
                <c:pt idx="24">
                  <c:v>39661</c:v>
                </c:pt>
                <c:pt idx="25">
                  <c:v>39692</c:v>
                </c:pt>
                <c:pt idx="26">
                  <c:v>39722</c:v>
                </c:pt>
                <c:pt idx="27">
                  <c:v>39753</c:v>
                </c:pt>
                <c:pt idx="28">
                  <c:v>39783</c:v>
                </c:pt>
                <c:pt idx="29">
                  <c:v>39814</c:v>
                </c:pt>
                <c:pt idx="30">
                  <c:v>39845</c:v>
                </c:pt>
                <c:pt idx="31">
                  <c:v>39873</c:v>
                </c:pt>
                <c:pt idx="32">
                  <c:v>39904</c:v>
                </c:pt>
                <c:pt idx="33">
                  <c:v>39934</c:v>
                </c:pt>
                <c:pt idx="34">
                  <c:v>39965</c:v>
                </c:pt>
                <c:pt idx="35">
                  <c:v>39995</c:v>
                </c:pt>
                <c:pt idx="36">
                  <c:v>40026</c:v>
                </c:pt>
                <c:pt idx="37">
                  <c:v>40057</c:v>
                </c:pt>
                <c:pt idx="38">
                  <c:v>40087</c:v>
                </c:pt>
                <c:pt idx="39">
                  <c:v>40118</c:v>
                </c:pt>
                <c:pt idx="40">
                  <c:v>40148</c:v>
                </c:pt>
                <c:pt idx="41">
                  <c:v>40179</c:v>
                </c:pt>
                <c:pt idx="42">
                  <c:v>40210</c:v>
                </c:pt>
                <c:pt idx="43">
                  <c:v>40238</c:v>
                </c:pt>
                <c:pt idx="44">
                  <c:v>40269</c:v>
                </c:pt>
                <c:pt idx="45">
                  <c:v>40299</c:v>
                </c:pt>
                <c:pt idx="46">
                  <c:v>40330</c:v>
                </c:pt>
                <c:pt idx="47">
                  <c:v>40360</c:v>
                </c:pt>
                <c:pt idx="48">
                  <c:v>40391</c:v>
                </c:pt>
                <c:pt idx="49">
                  <c:v>40422</c:v>
                </c:pt>
                <c:pt idx="50">
                  <c:v>40452</c:v>
                </c:pt>
                <c:pt idx="51">
                  <c:v>40483</c:v>
                </c:pt>
                <c:pt idx="52">
                  <c:v>40513</c:v>
                </c:pt>
                <c:pt idx="53">
                  <c:v>40544</c:v>
                </c:pt>
                <c:pt idx="54">
                  <c:v>40575</c:v>
                </c:pt>
                <c:pt idx="55">
                  <c:v>40603</c:v>
                </c:pt>
                <c:pt idx="56">
                  <c:v>40634</c:v>
                </c:pt>
                <c:pt idx="57">
                  <c:v>40664</c:v>
                </c:pt>
                <c:pt idx="58">
                  <c:v>40695</c:v>
                </c:pt>
                <c:pt idx="59">
                  <c:v>40725</c:v>
                </c:pt>
                <c:pt idx="60">
                  <c:v>40756</c:v>
                </c:pt>
                <c:pt idx="61">
                  <c:v>40787</c:v>
                </c:pt>
                <c:pt idx="62">
                  <c:v>40817</c:v>
                </c:pt>
                <c:pt idx="63">
                  <c:v>40848</c:v>
                </c:pt>
                <c:pt idx="64">
                  <c:v>40878</c:v>
                </c:pt>
                <c:pt idx="65">
                  <c:v>40909</c:v>
                </c:pt>
                <c:pt idx="66">
                  <c:v>40940</c:v>
                </c:pt>
                <c:pt idx="67">
                  <c:v>40969</c:v>
                </c:pt>
                <c:pt idx="68">
                  <c:v>41000</c:v>
                </c:pt>
                <c:pt idx="69">
                  <c:v>41030</c:v>
                </c:pt>
                <c:pt idx="70">
                  <c:v>41061</c:v>
                </c:pt>
                <c:pt idx="71">
                  <c:v>41091</c:v>
                </c:pt>
                <c:pt idx="72">
                  <c:v>41122</c:v>
                </c:pt>
                <c:pt idx="73">
                  <c:v>41153</c:v>
                </c:pt>
                <c:pt idx="74">
                  <c:v>41183</c:v>
                </c:pt>
                <c:pt idx="75">
                  <c:v>41214</c:v>
                </c:pt>
                <c:pt idx="76">
                  <c:v>41244</c:v>
                </c:pt>
                <c:pt idx="77">
                  <c:v>41275</c:v>
                </c:pt>
                <c:pt idx="78">
                  <c:v>41306</c:v>
                </c:pt>
                <c:pt idx="79">
                  <c:v>41334</c:v>
                </c:pt>
                <c:pt idx="80">
                  <c:v>41365</c:v>
                </c:pt>
                <c:pt idx="81">
                  <c:v>41395</c:v>
                </c:pt>
                <c:pt idx="82">
                  <c:v>41426</c:v>
                </c:pt>
                <c:pt idx="83">
                  <c:v>41456</c:v>
                </c:pt>
                <c:pt idx="84">
                  <c:v>41487</c:v>
                </c:pt>
                <c:pt idx="85">
                  <c:v>41518</c:v>
                </c:pt>
                <c:pt idx="86">
                  <c:v>41548</c:v>
                </c:pt>
                <c:pt idx="87">
                  <c:v>41579</c:v>
                </c:pt>
                <c:pt idx="88">
                  <c:v>41609</c:v>
                </c:pt>
                <c:pt idx="89">
                  <c:v>41640</c:v>
                </c:pt>
                <c:pt idx="90">
                  <c:v>41671</c:v>
                </c:pt>
                <c:pt idx="91">
                  <c:v>41699</c:v>
                </c:pt>
                <c:pt idx="92">
                  <c:v>41730</c:v>
                </c:pt>
                <c:pt idx="93">
                  <c:v>41760</c:v>
                </c:pt>
                <c:pt idx="94">
                  <c:v>41791</c:v>
                </c:pt>
                <c:pt idx="95">
                  <c:v>41821</c:v>
                </c:pt>
                <c:pt idx="96">
                  <c:v>41852</c:v>
                </c:pt>
                <c:pt idx="97">
                  <c:v>41883</c:v>
                </c:pt>
                <c:pt idx="98">
                  <c:v>41913</c:v>
                </c:pt>
                <c:pt idx="99">
                  <c:v>41944</c:v>
                </c:pt>
                <c:pt idx="100">
                  <c:v>41974</c:v>
                </c:pt>
                <c:pt idx="101">
                  <c:v>42005</c:v>
                </c:pt>
                <c:pt idx="102">
                  <c:v>42036</c:v>
                </c:pt>
                <c:pt idx="103">
                  <c:v>42064</c:v>
                </c:pt>
                <c:pt idx="104">
                  <c:v>42095</c:v>
                </c:pt>
                <c:pt idx="105">
                  <c:v>42125</c:v>
                </c:pt>
                <c:pt idx="106">
                  <c:v>42156</c:v>
                </c:pt>
                <c:pt idx="107">
                  <c:v>42186</c:v>
                </c:pt>
                <c:pt idx="108">
                  <c:v>42217</c:v>
                </c:pt>
                <c:pt idx="109">
                  <c:v>42248</c:v>
                </c:pt>
                <c:pt idx="110">
                  <c:v>42278</c:v>
                </c:pt>
                <c:pt idx="111">
                  <c:v>42309</c:v>
                </c:pt>
                <c:pt idx="112">
                  <c:v>42339</c:v>
                </c:pt>
                <c:pt idx="113">
                  <c:v>42370</c:v>
                </c:pt>
                <c:pt idx="114">
                  <c:v>42401</c:v>
                </c:pt>
                <c:pt idx="115">
                  <c:v>42430</c:v>
                </c:pt>
                <c:pt idx="116">
                  <c:v>42461</c:v>
                </c:pt>
                <c:pt idx="117">
                  <c:v>42491</c:v>
                </c:pt>
                <c:pt idx="118">
                  <c:v>42522</c:v>
                </c:pt>
                <c:pt idx="119">
                  <c:v>42552</c:v>
                </c:pt>
                <c:pt idx="120">
                  <c:v>42583</c:v>
                </c:pt>
                <c:pt idx="121">
                  <c:v>42614</c:v>
                </c:pt>
                <c:pt idx="122">
                  <c:v>42644</c:v>
                </c:pt>
                <c:pt idx="123">
                  <c:v>42675</c:v>
                </c:pt>
                <c:pt idx="124">
                  <c:v>42705</c:v>
                </c:pt>
                <c:pt idx="125">
                  <c:v>42736</c:v>
                </c:pt>
                <c:pt idx="126">
                  <c:v>42767</c:v>
                </c:pt>
                <c:pt idx="127">
                  <c:v>42795</c:v>
                </c:pt>
                <c:pt idx="128">
                  <c:v>42826</c:v>
                </c:pt>
                <c:pt idx="129">
                  <c:v>42856</c:v>
                </c:pt>
                <c:pt idx="130">
                  <c:v>42887</c:v>
                </c:pt>
                <c:pt idx="131">
                  <c:v>42917</c:v>
                </c:pt>
                <c:pt idx="132">
                  <c:v>42948</c:v>
                </c:pt>
                <c:pt idx="133">
                  <c:v>42979</c:v>
                </c:pt>
                <c:pt idx="134">
                  <c:v>43009</c:v>
                </c:pt>
                <c:pt idx="135">
                  <c:v>43040</c:v>
                </c:pt>
                <c:pt idx="136">
                  <c:v>43070</c:v>
                </c:pt>
                <c:pt idx="137">
                  <c:v>43101</c:v>
                </c:pt>
                <c:pt idx="138">
                  <c:v>43132</c:v>
                </c:pt>
                <c:pt idx="139">
                  <c:v>43160</c:v>
                </c:pt>
                <c:pt idx="140">
                  <c:v>43191</c:v>
                </c:pt>
                <c:pt idx="141">
                  <c:v>43221</c:v>
                </c:pt>
                <c:pt idx="142">
                  <c:v>43252</c:v>
                </c:pt>
                <c:pt idx="143">
                  <c:v>43282</c:v>
                </c:pt>
                <c:pt idx="144">
                  <c:v>43313</c:v>
                </c:pt>
                <c:pt idx="145">
                  <c:v>43344</c:v>
                </c:pt>
                <c:pt idx="146">
                  <c:v>43374</c:v>
                </c:pt>
                <c:pt idx="147">
                  <c:v>43405</c:v>
                </c:pt>
                <c:pt idx="148">
                  <c:v>43435</c:v>
                </c:pt>
                <c:pt idx="149">
                  <c:v>43466</c:v>
                </c:pt>
                <c:pt idx="150">
                  <c:v>43497</c:v>
                </c:pt>
                <c:pt idx="151">
                  <c:v>43525</c:v>
                </c:pt>
                <c:pt idx="152">
                  <c:v>43556</c:v>
                </c:pt>
                <c:pt idx="153">
                  <c:v>43586</c:v>
                </c:pt>
                <c:pt idx="154">
                  <c:v>43617</c:v>
                </c:pt>
              </c:numCache>
            </c:numRef>
          </c:cat>
          <c:val>
            <c:numRef>
              <c:f>Monthly_Temp_LRs_FLs!$I$3:$I$158</c:f>
              <c:numCache>
                <c:formatCode>0.0</c:formatCode>
                <c:ptCount val="156"/>
                <c:pt idx="0">
                  <c:v>9.1194925788278294</c:v>
                </c:pt>
                <c:pt idx="1">
                  <c:v>8.5683930695818002</c:v>
                </c:pt>
                <c:pt idx="2">
                  <c:v>7.774304564869019</c:v>
                </c:pt>
                <c:pt idx="3">
                  <c:v>8.0459252098791225</c:v>
                </c:pt>
                <c:pt idx="4">
                  <c:v>7.6203001618026258</c:v>
                </c:pt>
                <c:pt idx="5">
                  <c:v>8.1491888620460742</c:v>
                </c:pt>
                <c:pt idx="6">
                  <c:v>8.1429589608670447</c:v>
                </c:pt>
                <c:pt idx="7">
                  <c:v>8.1364514637575489</c:v>
                </c:pt>
                <c:pt idx="8">
                  <c:v>8.3222799106120231</c:v>
                </c:pt>
                <c:pt idx="9">
                  <c:v>7.9087182747482023</c:v>
                </c:pt>
                <c:pt idx="10">
                  <c:v>9.6878143700565023</c:v>
                </c:pt>
                <c:pt idx="11">
                  <c:v>9.9102003570404804</c:v>
                </c:pt>
                <c:pt idx="12">
                  <c:v>6.4882697947214378</c:v>
                </c:pt>
                <c:pt idx="13">
                  <c:v>7.5971074380165531</c:v>
                </c:pt>
                <c:pt idx="14">
                  <c:v>5.7884564116235815</c:v>
                </c:pt>
                <c:pt idx="15">
                  <c:v>5.4116161616161937</c:v>
                </c:pt>
                <c:pt idx="16">
                  <c:v>4.9706744868035377</c:v>
                </c:pt>
                <c:pt idx="17">
                  <c:v>5.5014218430640769</c:v>
                </c:pt>
                <c:pt idx="18">
                  <c:v>5.4930179538329877</c:v>
                </c:pt>
                <c:pt idx="19">
                  <c:v>5.7111436950146564</c:v>
                </c:pt>
                <c:pt idx="20">
                  <c:v>5.5709366391184636</c:v>
                </c:pt>
                <c:pt idx="21">
                  <c:v>5.412112325602056</c:v>
                </c:pt>
                <c:pt idx="22">
                  <c:v>5.8099173553719181</c:v>
                </c:pt>
                <c:pt idx="23">
                  <c:v>7.9418154121617022</c:v>
                </c:pt>
                <c:pt idx="24">
                  <c:v>8.8556560484139109</c:v>
                </c:pt>
                <c:pt idx="25">
                  <c:v>8.954420366271135</c:v>
                </c:pt>
                <c:pt idx="26">
                  <c:v>8.2167053730342765</c:v>
                </c:pt>
                <c:pt idx="27">
                  <c:v>8.175735962403845</c:v>
                </c:pt>
                <c:pt idx="28">
                  <c:v>7.8843486629549728</c:v>
                </c:pt>
                <c:pt idx="29">
                  <c:v>8.1968797243297544</c:v>
                </c:pt>
                <c:pt idx="30">
                  <c:v>8.192763829945088</c:v>
                </c:pt>
                <c:pt idx="31">
                  <c:v>8.3435692215218697</c:v>
                </c:pt>
                <c:pt idx="32">
                  <c:v>8.2652143231879762</c:v>
                </c:pt>
                <c:pt idx="33">
                  <c:v>8.0864895776286012</c:v>
                </c:pt>
                <c:pt idx="34">
                  <c:v>8.4079561420453715</c:v>
                </c:pt>
                <c:pt idx="35">
                  <c:v>7.1054954125690317</c:v>
                </c:pt>
                <c:pt idx="36">
                  <c:v>5.6506566512274299</c:v>
                </c:pt>
                <c:pt idx="37">
                  <c:v>6.3953944670362519</c:v>
                </c:pt>
                <c:pt idx="38">
                  <c:v>5.2914979072975319</c:v>
                </c:pt>
                <c:pt idx="39">
                  <c:v>4.4063378372789961</c:v>
                </c:pt>
                <c:pt idx="40">
                  <c:v>5.0757114204642315</c:v>
                </c:pt>
                <c:pt idx="41">
                  <c:v>7.3595825381876976</c:v>
                </c:pt>
                <c:pt idx="42">
                  <c:v>7.0607714972003546</c:v>
                </c:pt>
                <c:pt idx="43">
                  <c:v>7.4398460244555737</c:v>
                </c:pt>
                <c:pt idx="44">
                  <c:v>6.9931180337178738</c:v>
                </c:pt>
                <c:pt idx="45">
                  <c:v>6.4293393755719848</c:v>
                </c:pt>
                <c:pt idx="46">
                  <c:v>7.4562989335300873</c:v>
                </c:pt>
                <c:pt idx="47">
                  <c:v>7.0890069983033133</c:v>
                </c:pt>
                <c:pt idx="48">
                  <c:v>8.0689477220909183</c:v>
                </c:pt>
                <c:pt idx="49">
                  <c:v>8.0783181907907586</c:v>
                </c:pt>
                <c:pt idx="50">
                  <c:v>7.1806958350661301</c:v>
                </c:pt>
                <c:pt idx="51">
                  <c:v>6.3966798563543232</c:v>
                </c:pt>
                <c:pt idx="52">
                  <c:v>6.6718600774515675</c:v>
                </c:pt>
                <c:pt idx="53">
                  <c:v>7.2205259029774673</c:v>
                </c:pt>
                <c:pt idx="54">
                  <c:v>6.9381028497054205</c:v>
                </c:pt>
                <c:pt idx="55">
                  <c:v>6.9822407850701582</c:v>
                </c:pt>
                <c:pt idx="56">
                  <c:v>7.4293798841165319</c:v>
                </c:pt>
                <c:pt idx="57">
                  <c:v>7.7174408604193667</c:v>
                </c:pt>
                <c:pt idx="58">
                  <c:v>7.4815507990343484</c:v>
                </c:pt>
                <c:pt idx="59">
                  <c:v>8.1838511855089244</c:v>
                </c:pt>
                <c:pt idx="60">
                  <c:v>8.5139119715658875</c:v>
                </c:pt>
                <c:pt idx="61">
                  <c:v>8.0753005021476127</c:v>
                </c:pt>
                <c:pt idx="62">
                  <c:v>7.6541214164860651</c:v>
                </c:pt>
                <c:pt idx="63">
                  <c:v>7.4603724730804126</c:v>
                </c:pt>
                <c:pt idx="64">
                  <c:v>7.1278830237002007</c:v>
                </c:pt>
                <c:pt idx="65">
                  <c:v>7.049813961387291</c:v>
                </c:pt>
                <c:pt idx="66">
                  <c:v>7.231992775783624</c:v>
                </c:pt>
                <c:pt idx="67">
                  <c:v>8.1657410951603495</c:v>
                </c:pt>
                <c:pt idx="68">
                  <c:v>7.3955862576016225</c:v>
                </c:pt>
                <c:pt idx="69">
                  <c:v>8.029957875540406</c:v>
                </c:pt>
                <c:pt idx="70">
                  <c:v>8.4856711909564897</c:v>
                </c:pt>
                <c:pt idx="71">
                  <c:v>6.6989405993149216</c:v>
                </c:pt>
                <c:pt idx="83">
                  <c:v>7.7949041098793845</c:v>
                </c:pt>
                <c:pt idx="84">
                  <c:v>8.5093400447051621</c:v>
                </c:pt>
                <c:pt idx="85">
                  <c:v>9.9059938953244</c:v>
                </c:pt>
                <c:pt idx="86">
                  <c:v>8.8485739267741863</c:v>
                </c:pt>
                <c:pt idx="87">
                  <c:v>8.9736991318805792</c:v>
                </c:pt>
                <c:pt idx="88">
                  <c:v>10.028341772923714</c:v>
                </c:pt>
                <c:pt idx="89">
                  <c:v>8.7570083639150482</c:v>
                </c:pt>
                <c:pt idx="90">
                  <c:v>8.4304149732339209</c:v>
                </c:pt>
                <c:pt idx="91">
                  <c:v>8.2934172090624987</c:v>
                </c:pt>
                <c:pt idx="92">
                  <c:v>6.9851454950254928</c:v>
                </c:pt>
                <c:pt idx="93">
                  <c:v>7.3931920751534781</c:v>
                </c:pt>
                <c:pt idx="94">
                  <c:v>7.9643020781696698</c:v>
                </c:pt>
                <c:pt idx="95">
                  <c:v>8.8558977940946733</c:v>
                </c:pt>
                <c:pt idx="96">
                  <c:v>9.1425710764897374</c:v>
                </c:pt>
                <c:pt idx="97">
                  <c:v>8.5935106944811128</c:v>
                </c:pt>
                <c:pt idx="98">
                  <c:v>8.4786770530763089</c:v>
                </c:pt>
                <c:pt idx="99">
                  <c:v>7.2411026024704324</c:v>
                </c:pt>
                <c:pt idx="100">
                  <c:v>7.2842683373510377</c:v>
                </c:pt>
                <c:pt idx="101">
                  <c:v>7.9231865663801688</c:v>
                </c:pt>
                <c:pt idx="102">
                  <c:v>7.9310603631471013</c:v>
                </c:pt>
                <c:pt idx="103">
                  <c:v>7.86595199763764</c:v>
                </c:pt>
                <c:pt idx="104">
                  <c:v>8.1108837250242001</c:v>
                </c:pt>
                <c:pt idx="105">
                  <c:v>7.545603805889411</c:v>
                </c:pt>
                <c:pt idx="106">
                  <c:v>8.5577193908986828</c:v>
                </c:pt>
                <c:pt idx="107">
                  <c:v>8.1023071794599684</c:v>
                </c:pt>
                <c:pt idx="108">
                  <c:v>7.1782295427063882</c:v>
                </c:pt>
                <c:pt idx="109">
                  <c:v>6.873288104892544</c:v>
                </c:pt>
                <c:pt idx="110">
                  <c:v>6.2994487658904035</c:v>
                </c:pt>
                <c:pt idx="111">
                  <c:v>5.7416290909991829</c:v>
                </c:pt>
                <c:pt idx="112">
                  <c:v>5.5102098989306452</c:v>
                </c:pt>
                <c:pt idx="113">
                  <c:v>5.4979904810085056</c:v>
                </c:pt>
                <c:pt idx="114">
                  <c:v>5.8249866655503597</c:v>
                </c:pt>
                <c:pt idx="115">
                  <c:v>5.9704002707685788</c:v>
                </c:pt>
                <c:pt idx="116">
                  <c:v>6.2035930183583963</c:v>
                </c:pt>
                <c:pt idx="117">
                  <c:v>6.5248145259192158</c:v>
                </c:pt>
                <c:pt idx="118">
                  <c:v>7.3444343279185844</c:v>
                </c:pt>
                <c:pt idx="119">
                  <c:v>7.4890729532716396</c:v>
                </c:pt>
                <c:pt idx="120">
                  <c:v>7.4547012480486687</c:v>
                </c:pt>
                <c:pt idx="121">
                  <c:v>6.7029502404567411</c:v>
                </c:pt>
                <c:pt idx="122">
                  <c:v>6.0590397518860426</c:v>
                </c:pt>
                <c:pt idx="123">
                  <c:v>5.6694318504020451</c:v>
                </c:pt>
                <c:pt idx="124">
                  <c:v>5.6184447376616324</c:v>
                </c:pt>
                <c:pt idx="125">
                  <c:v>5.7435493328154523</c:v>
                </c:pt>
                <c:pt idx="126">
                  <c:v>5.2473191943824062</c:v>
                </c:pt>
                <c:pt idx="127">
                  <c:v>6.0509944831301095</c:v>
                </c:pt>
                <c:pt idx="128">
                  <c:v>6.0957711545502331</c:v>
                </c:pt>
                <c:pt idx="129">
                  <c:v>6.0928575196223305</c:v>
                </c:pt>
                <c:pt idx="130">
                  <c:v>6.1570782855534336</c:v>
                </c:pt>
                <c:pt idx="131">
                  <c:v>7.2556968894380267</c:v>
                </c:pt>
                <c:pt idx="132">
                  <c:v>6.3048183833858271</c:v>
                </c:pt>
                <c:pt idx="133">
                  <c:v>6.8681558605653672</c:v>
                </c:pt>
                <c:pt idx="134">
                  <c:v>6.2804711224135596</c:v>
                </c:pt>
                <c:pt idx="135">
                  <c:v>5.4515514759116552</c:v>
                </c:pt>
                <c:pt idx="136">
                  <c:v>5.4906661562449788</c:v>
                </c:pt>
                <c:pt idx="137">
                  <c:v>5.7660534413637103</c:v>
                </c:pt>
                <c:pt idx="138">
                  <c:v>5.3867071504666573</c:v>
                </c:pt>
                <c:pt idx="139">
                  <c:v>6.0227144976542162</c:v>
                </c:pt>
                <c:pt idx="140">
                  <c:v>6.2123228231576215</c:v>
                </c:pt>
                <c:pt idx="141">
                  <c:v>6.3920542714649482</c:v>
                </c:pt>
                <c:pt idx="142">
                  <c:v>7.4121944052170976</c:v>
                </c:pt>
                <c:pt idx="143">
                  <c:v>7.0672611962170242</c:v>
                </c:pt>
                <c:pt idx="144">
                  <c:v>6.8862933795562338</c:v>
                </c:pt>
                <c:pt idx="145">
                  <c:v>6.4208306019754477</c:v>
                </c:pt>
                <c:pt idx="146">
                  <c:v>5.6247124987243415</c:v>
                </c:pt>
                <c:pt idx="147">
                  <c:v>5.3631749356877432</c:v>
                </c:pt>
                <c:pt idx="148">
                  <c:v>5.7643686535833218</c:v>
                </c:pt>
                <c:pt idx="149">
                  <c:v>5.8192946134813175</c:v>
                </c:pt>
                <c:pt idx="150">
                  <c:v>5.9572322228751808</c:v>
                </c:pt>
                <c:pt idx="151">
                  <c:v>6.0324560911553853</c:v>
                </c:pt>
                <c:pt idx="152">
                  <c:v>5.6935643402358842</c:v>
                </c:pt>
                <c:pt idx="153">
                  <c:v>5.6840553669611902</c:v>
                </c:pt>
                <c:pt idx="154">
                  <c:v>6.6865422434186188</c:v>
                </c:pt>
                <c:pt idx="155">
                  <c:v>6.3386816615277795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1C-4873-B5F9-DF962CDB50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2389072"/>
        <c:axId val="722389400"/>
      </c:lineChart>
      <c:lineChart>
        <c:grouping val="standard"/>
        <c:varyColors val="0"/>
        <c:ser>
          <c:idx val="1"/>
          <c:order val="1"/>
          <c:tx>
            <c:strRef>
              <c:f>Monthly_Temp_LRs_FLs!$AW$2</c:f>
              <c:strCache>
                <c:ptCount val="1"/>
                <c:pt idx="0">
                  <c:v>Summed Discharge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Monthly_Temp_LRs_FLs!$A$3:$A$157</c:f>
              <c:numCache>
                <c:formatCode>mmm\-yy</c:formatCode>
                <c:ptCount val="155"/>
                <c:pt idx="0">
                  <c:v>38930</c:v>
                </c:pt>
                <c:pt idx="1">
                  <c:v>38961</c:v>
                </c:pt>
                <c:pt idx="2">
                  <c:v>38991</c:v>
                </c:pt>
                <c:pt idx="3">
                  <c:v>39022</c:v>
                </c:pt>
                <c:pt idx="4">
                  <c:v>39052</c:v>
                </c:pt>
                <c:pt idx="5">
                  <c:v>39083</c:v>
                </c:pt>
                <c:pt idx="6">
                  <c:v>39114</c:v>
                </c:pt>
                <c:pt idx="7">
                  <c:v>39142</c:v>
                </c:pt>
                <c:pt idx="8">
                  <c:v>39173</c:v>
                </c:pt>
                <c:pt idx="9">
                  <c:v>39203</c:v>
                </c:pt>
                <c:pt idx="10">
                  <c:v>39234</c:v>
                </c:pt>
                <c:pt idx="11">
                  <c:v>39264</c:v>
                </c:pt>
                <c:pt idx="12">
                  <c:v>39295</c:v>
                </c:pt>
                <c:pt idx="13">
                  <c:v>39326</c:v>
                </c:pt>
                <c:pt idx="14">
                  <c:v>39356</c:v>
                </c:pt>
                <c:pt idx="15">
                  <c:v>39387</c:v>
                </c:pt>
                <c:pt idx="16">
                  <c:v>39417</c:v>
                </c:pt>
                <c:pt idx="17">
                  <c:v>39448</c:v>
                </c:pt>
                <c:pt idx="18">
                  <c:v>39479</c:v>
                </c:pt>
                <c:pt idx="19">
                  <c:v>39508</c:v>
                </c:pt>
                <c:pt idx="20">
                  <c:v>39539</c:v>
                </c:pt>
                <c:pt idx="21">
                  <c:v>39569</c:v>
                </c:pt>
                <c:pt idx="22">
                  <c:v>39600</c:v>
                </c:pt>
                <c:pt idx="23">
                  <c:v>39630</c:v>
                </c:pt>
                <c:pt idx="24">
                  <c:v>39661</c:v>
                </c:pt>
                <c:pt idx="25">
                  <c:v>39692</c:v>
                </c:pt>
                <c:pt idx="26">
                  <c:v>39722</c:v>
                </c:pt>
                <c:pt idx="27">
                  <c:v>39753</c:v>
                </c:pt>
                <c:pt idx="28">
                  <c:v>39783</c:v>
                </c:pt>
                <c:pt idx="29">
                  <c:v>39814</c:v>
                </c:pt>
                <c:pt idx="30">
                  <c:v>39845</c:v>
                </c:pt>
                <c:pt idx="31">
                  <c:v>39873</c:v>
                </c:pt>
                <c:pt idx="32">
                  <c:v>39904</c:v>
                </c:pt>
                <c:pt idx="33">
                  <c:v>39934</c:v>
                </c:pt>
                <c:pt idx="34">
                  <c:v>39965</c:v>
                </c:pt>
                <c:pt idx="35">
                  <c:v>39995</c:v>
                </c:pt>
                <c:pt idx="36">
                  <c:v>40026</c:v>
                </c:pt>
                <c:pt idx="37">
                  <c:v>40057</c:v>
                </c:pt>
                <c:pt idx="38">
                  <c:v>40087</c:v>
                </c:pt>
                <c:pt idx="39">
                  <c:v>40118</c:v>
                </c:pt>
                <c:pt idx="40">
                  <c:v>40148</c:v>
                </c:pt>
                <c:pt idx="41">
                  <c:v>40179</c:v>
                </c:pt>
                <c:pt idx="42">
                  <c:v>40210</c:v>
                </c:pt>
                <c:pt idx="43">
                  <c:v>40238</c:v>
                </c:pt>
                <c:pt idx="44">
                  <c:v>40269</c:v>
                </c:pt>
                <c:pt idx="45">
                  <c:v>40299</c:v>
                </c:pt>
                <c:pt idx="46">
                  <c:v>40330</c:v>
                </c:pt>
                <c:pt idx="47">
                  <c:v>40360</c:v>
                </c:pt>
                <c:pt idx="48">
                  <c:v>40391</c:v>
                </c:pt>
                <c:pt idx="49">
                  <c:v>40422</c:v>
                </c:pt>
                <c:pt idx="50">
                  <c:v>40452</c:v>
                </c:pt>
                <c:pt idx="51">
                  <c:v>40483</c:v>
                </c:pt>
                <c:pt idx="52">
                  <c:v>40513</c:v>
                </c:pt>
                <c:pt idx="53">
                  <c:v>40544</c:v>
                </c:pt>
                <c:pt idx="54">
                  <c:v>40575</c:v>
                </c:pt>
                <c:pt idx="55">
                  <c:v>40603</c:v>
                </c:pt>
                <c:pt idx="56">
                  <c:v>40634</c:v>
                </c:pt>
                <c:pt idx="57">
                  <c:v>40664</c:v>
                </c:pt>
                <c:pt idx="58">
                  <c:v>40695</c:v>
                </c:pt>
                <c:pt idx="59">
                  <c:v>40725</c:v>
                </c:pt>
                <c:pt idx="60">
                  <c:v>40756</c:v>
                </c:pt>
                <c:pt idx="61">
                  <c:v>40787</c:v>
                </c:pt>
                <c:pt idx="62">
                  <c:v>40817</c:v>
                </c:pt>
                <c:pt idx="63">
                  <c:v>40848</c:v>
                </c:pt>
                <c:pt idx="64">
                  <c:v>40878</c:v>
                </c:pt>
                <c:pt idx="65">
                  <c:v>40909</c:v>
                </c:pt>
                <c:pt idx="66">
                  <c:v>40940</c:v>
                </c:pt>
                <c:pt idx="67">
                  <c:v>40969</c:v>
                </c:pt>
                <c:pt idx="68">
                  <c:v>41000</c:v>
                </c:pt>
                <c:pt idx="69">
                  <c:v>41030</c:v>
                </c:pt>
                <c:pt idx="70">
                  <c:v>41061</c:v>
                </c:pt>
                <c:pt idx="71">
                  <c:v>41091</c:v>
                </c:pt>
                <c:pt idx="72">
                  <c:v>41122</c:v>
                </c:pt>
                <c:pt idx="73">
                  <c:v>41153</c:v>
                </c:pt>
                <c:pt idx="74">
                  <c:v>41183</c:v>
                </c:pt>
                <c:pt idx="75">
                  <c:v>41214</c:v>
                </c:pt>
                <c:pt idx="76">
                  <c:v>41244</c:v>
                </c:pt>
                <c:pt idx="77">
                  <c:v>41275</c:v>
                </c:pt>
                <c:pt idx="78">
                  <c:v>41306</c:v>
                </c:pt>
                <c:pt idx="79">
                  <c:v>41334</c:v>
                </c:pt>
                <c:pt idx="80">
                  <c:v>41365</c:v>
                </c:pt>
                <c:pt idx="81">
                  <c:v>41395</c:v>
                </c:pt>
                <c:pt idx="82">
                  <c:v>41426</c:v>
                </c:pt>
                <c:pt idx="83">
                  <c:v>41456</c:v>
                </c:pt>
                <c:pt idx="84">
                  <c:v>41487</c:v>
                </c:pt>
                <c:pt idx="85">
                  <c:v>41518</c:v>
                </c:pt>
                <c:pt idx="86">
                  <c:v>41548</c:v>
                </c:pt>
                <c:pt idx="87">
                  <c:v>41579</c:v>
                </c:pt>
                <c:pt idx="88">
                  <c:v>41609</c:v>
                </c:pt>
                <c:pt idx="89">
                  <c:v>41640</c:v>
                </c:pt>
                <c:pt idx="90">
                  <c:v>41671</c:v>
                </c:pt>
                <c:pt idx="91">
                  <c:v>41699</c:v>
                </c:pt>
                <c:pt idx="92">
                  <c:v>41730</c:v>
                </c:pt>
                <c:pt idx="93">
                  <c:v>41760</c:v>
                </c:pt>
                <c:pt idx="94">
                  <c:v>41791</c:v>
                </c:pt>
                <c:pt idx="95">
                  <c:v>41821</c:v>
                </c:pt>
                <c:pt idx="96">
                  <c:v>41852</c:v>
                </c:pt>
                <c:pt idx="97">
                  <c:v>41883</c:v>
                </c:pt>
                <c:pt idx="98">
                  <c:v>41913</c:v>
                </c:pt>
                <c:pt idx="99">
                  <c:v>41944</c:v>
                </c:pt>
                <c:pt idx="100">
                  <c:v>41974</c:v>
                </c:pt>
                <c:pt idx="101">
                  <c:v>42005</c:v>
                </c:pt>
                <c:pt idx="102">
                  <c:v>42036</c:v>
                </c:pt>
                <c:pt idx="103">
                  <c:v>42064</c:v>
                </c:pt>
                <c:pt idx="104">
                  <c:v>42095</c:v>
                </c:pt>
                <c:pt idx="105">
                  <c:v>42125</c:v>
                </c:pt>
                <c:pt idx="106">
                  <c:v>42156</c:v>
                </c:pt>
                <c:pt idx="107">
                  <c:v>42186</c:v>
                </c:pt>
                <c:pt idx="108">
                  <c:v>42217</c:v>
                </c:pt>
                <c:pt idx="109">
                  <c:v>42248</c:v>
                </c:pt>
                <c:pt idx="110">
                  <c:v>42278</c:v>
                </c:pt>
                <c:pt idx="111">
                  <c:v>42309</c:v>
                </c:pt>
                <c:pt idx="112">
                  <c:v>42339</c:v>
                </c:pt>
                <c:pt idx="113">
                  <c:v>42370</c:v>
                </c:pt>
                <c:pt idx="114">
                  <c:v>42401</c:v>
                </c:pt>
                <c:pt idx="115">
                  <c:v>42430</c:v>
                </c:pt>
                <c:pt idx="116">
                  <c:v>42461</c:v>
                </c:pt>
                <c:pt idx="117">
                  <c:v>42491</c:v>
                </c:pt>
                <c:pt idx="118">
                  <c:v>42522</c:v>
                </c:pt>
                <c:pt idx="119">
                  <c:v>42552</c:v>
                </c:pt>
                <c:pt idx="120">
                  <c:v>42583</c:v>
                </c:pt>
                <c:pt idx="121">
                  <c:v>42614</c:v>
                </c:pt>
                <c:pt idx="122">
                  <c:v>42644</c:v>
                </c:pt>
                <c:pt idx="123">
                  <c:v>42675</c:v>
                </c:pt>
                <c:pt idx="124">
                  <c:v>42705</c:v>
                </c:pt>
                <c:pt idx="125">
                  <c:v>42736</c:v>
                </c:pt>
                <c:pt idx="126">
                  <c:v>42767</c:v>
                </c:pt>
                <c:pt idx="127">
                  <c:v>42795</c:v>
                </c:pt>
                <c:pt idx="128">
                  <c:v>42826</c:v>
                </c:pt>
                <c:pt idx="129">
                  <c:v>42856</c:v>
                </c:pt>
                <c:pt idx="130">
                  <c:v>42887</c:v>
                </c:pt>
                <c:pt idx="131">
                  <c:v>42917</c:v>
                </c:pt>
                <c:pt idx="132">
                  <c:v>42948</c:v>
                </c:pt>
                <c:pt idx="133">
                  <c:v>42979</c:v>
                </c:pt>
                <c:pt idx="134">
                  <c:v>43009</c:v>
                </c:pt>
                <c:pt idx="135">
                  <c:v>43040</c:v>
                </c:pt>
                <c:pt idx="136">
                  <c:v>43070</c:v>
                </c:pt>
                <c:pt idx="137">
                  <c:v>43101</c:v>
                </c:pt>
                <c:pt idx="138">
                  <c:v>43132</c:v>
                </c:pt>
                <c:pt idx="139">
                  <c:v>43160</c:v>
                </c:pt>
                <c:pt idx="140">
                  <c:v>43191</c:v>
                </c:pt>
                <c:pt idx="141">
                  <c:v>43221</c:v>
                </c:pt>
                <c:pt idx="142">
                  <c:v>43252</c:v>
                </c:pt>
                <c:pt idx="143">
                  <c:v>43282</c:v>
                </c:pt>
                <c:pt idx="144">
                  <c:v>43313</c:v>
                </c:pt>
                <c:pt idx="145">
                  <c:v>43344</c:v>
                </c:pt>
                <c:pt idx="146">
                  <c:v>43374</c:v>
                </c:pt>
                <c:pt idx="147">
                  <c:v>43405</c:v>
                </c:pt>
                <c:pt idx="148">
                  <c:v>43435</c:v>
                </c:pt>
                <c:pt idx="149">
                  <c:v>43466</c:v>
                </c:pt>
                <c:pt idx="150">
                  <c:v>43497</c:v>
                </c:pt>
                <c:pt idx="151">
                  <c:v>43525</c:v>
                </c:pt>
                <c:pt idx="152">
                  <c:v>43556</c:v>
                </c:pt>
                <c:pt idx="153">
                  <c:v>43586</c:v>
                </c:pt>
                <c:pt idx="154">
                  <c:v>43617</c:v>
                </c:pt>
              </c:numCache>
            </c:numRef>
          </c:cat>
          <c:val>
            <c:numRef>
              <c:f>Monthly_Temp_LRs_FLs!$AW$3:$AW$157</c:f>
              <c:numCache>
                <c:formatCode>General</c:formatCode>
                <c:ptCount val="155"/>
                <c:pt idx="27">
                  <c:v>5265.4765754829996</c:v>
                </c:pt>
                <c:pt idx="28">
                  <c:v>7764.1529277139998</c:v>
                </c:pt>
                <c:pt idx="29">
                  <c:v>11158.776391325</c:v>
                </c:pt>
                <c:pt idx="30">
                  <c:v>10638.330478475</c:v>
                </c:pt>
                <c:pt idx="31">
                  <c:v>14150.204167901</c:v>
                </c:pt>
                <c:pt idx="32">
                  <c:v>12111.404349296999</c:v>
                </c:pt>
                <c:pt idx="33">
                  <c:v>7270.9375337399997</c:v>
                </c:pt>
                <c:pt idx="34">
                  <c:v>5542.0246996189999</c:v>
                </c:pt>
                <c:pt idx="35">
                  <c:v>4528.7810033579999</c:v>
                </c:pt>
                <c:pt idx="36">
                  <c:v>5061.0901824060002</c:v>
                </c:pt>
                <c:pt idx="37">
                  <c:v>5118.8073313240002</c:v>
                </c:pt>
                <c:pt idx="38">
                  <c:v>6360.6474929169999</c:v>
                </c:pt>
                <c:pt idx="39">
                  <c:v>7522.64770021</c:v>
                </c:pt>
                <c:pt idx="40">
                  <c:v>10364.925652655</c:v>
                </c:pt>
                <c:pt idx="47">
                  <c:v>5006.0250718309999</c:v>
                </c:pt>
                <c:pt idx="48">
                  <c:v>6469.164108297</c:v>
                </c:pt>
                <c:pt idx="49">
                  <c:v>5032.8438936390003</c:v>
                </c:pt>
                <c:pt idx="50">
                  <c:v>6803.4606775909997</c:v>
                </c:pt>
                <c:pt idx="51">
                  <c:v>7548.508193867</c:v>
                </c:pt>
                <c:pt idx="52">
                  <c:v>8039.2599573710004</c:v>
                </c:pt>
                <c:pt idx="53">
                  <c:v>8842.6061714160005</c:v>
                </c:pt>
                <c:pt idx="54">
                  <c:v>7851.7527474489998</c:v>
                </c:pt>
                <c:pt idx="55">
                  <c:v>8102.814787495</c:v>
                </c:pt>
                <c:pt idx="56">
                  <c:v>9416.7965355960005</c:v>
                </c:pt>
                <c:pt idx="57">
                  <c:v>6712.7407290749998</c:v>
                </c:pt>
                <c:pt idx="58">
                  <c:v>5403.1894650630002</c:v>
                </c:pt>
                <c:pt idx="59">
                  <c:v>4771.9507228230004</c:v>
                </c:pt>
                <c:pt idx="60">
                  <c:v>5913.2065359790004</c:v>
                </c:pt>
                <c:pt idx="61">
                  <c:v>4143.7013481699996</c:v>
                </c:pt>
                <c:pt idx="62">
                  <c:v>5224.0980444429997</c:v>
                </c:pt>
                <c:pt idx="63">
                  <c:v>6734.4278416079997</c:v>
                </c:pt>
                <c:pt idx="64">
                  <c:v>8881.8088897319994</c:v>
                </c:pt>
                <c:pt idx="65">
                  <c:v>9300.8628164410002</c:v>
                </c:pt>
                <c:pt idx="83">
                  <c:v>4804.6444746480001</c:v>
                </c:pt>
                <c:pt idx="84">
                  <c:v>4987.297734664</c:v>
                </c:pt>
                <c:pt idx="85">
                  <c:v>4933.1998875669997</c:v>
                </c:pt>
                <c:pt idx="86">
                  <c:v>6721.8750176800004</c:v>
                </c:pt>
                <c:pt idx="87">
                  <c:v>6637.9653053149996</c:v>
                </c:pt>
                <c:pt idx="88">
                  <c:v>8900.3584317490004</c:v>
                </c:pt>
                <c:pt idx="89">
                  <c:v>9736.7747306410001</c:v>
                </c:pt>
                <c:pt idx="90">
                  <c:v>9908.1872725310004</c:v>
                </c:pt>
                <c:pt idx="91">
                  <c:v>13094.631254251</c:v>
                </c:pt>
                <c:pt idx="92">
                  <c:v>9181.5210097559993</c:v>
                </c:pt>
                <c:pt idx="93">
                  <c:v>8021.860787355</c:v>
                </c:pt>
                <c:pt idx="94">
                  <c:v>3183.017694831</c:v>
                </c:pt>
                <c:pt idx="108">
                  <c:v>6270.5670966369998</c:v>
                </c:pt>
                <c:pt idx="109">
                  <c:v>6401.2155474350002</c:v>
                </c:pt>
                <c:pt idx="110">
                  <c:v>6978.8479709399999</c:v>
                </c:pt>
                <c:pt idx="111">
                  <c:v>7319.013862496</c:v>
                </c:pt>
                <c:pt idx="112">
                  <c:v>10707.555426272</c:v>
                </c:pt>
                <c:pt idx="113">
                  <c:v>10785.772780544999</c:v>
                </c:pt>
                <c:pt idx="120">
                  <c:v>4311.932053734</c:v>
                </c:pt>
                <c:pt idx="121">
                  <c:v>4670.6073509199996</c:v>
                </c:pt>
                <c:pt idx="122">
                  <c:v>4860.1897090789998</c:v>
                </c:pt>
                <c:pt idx="123">
                  <c:v>7855.0068259769996</c:v>
                </c:pt>
                <c:pt idx="124">
                  <c:v>6856.4474951929997</c:v>
                </c:pt>
                <c:pt idx="125">
                  <c:v>8025.4591235030002</c:v>
                </c:pt>
                <c:pt idx="126">
                  <c:v>7435.0294104410004</c:v>
                </c:pt>
                <c:pt idx="127">
                  <c:v>12047.322767449999</c:v>
                </c:pt>
                <c:pt idx="128">
                  <c:v>9142.1711261319997</c:v>
                </c:pt>
                <c:pt idx="129">
                  <c:v>6190.6189385830003</c:v>
                </c:pt>
                <c:pt idx="130">
                  <c:v>4310.6800289760004</c:v>
                </c:pt>
                <c:pt idx="131">
                  <c:v>2292.255834045</c:v>
                </c:pt>
                <c:pt idx="132">
                  <c:v>2407.176716686</c:v>
                </c:pt>
                <c:pt idx="133">
                  <c:v>1850.2073929600001</c:v>
                </c:pt>
                <c:pt idx="134">
                  <c:v>2601.2254599859998</c:v>
                </c:pt>
                <c:pt idx="135">
                  <c:v>2854.677378458</c:v>
                </c:pt>
                <c:pt idx="136">
                  <c:v>3629.9574505740002</c:v>
                </c:pt>
                <c:pt idx="137">
                  <c:v>3773.123070221</c:v>
                </c:pt>
                <c:pt idx="138">
                  <c:v>3629.1598102739999</c:v>
                </c:pt>
                <c:pt idx="139">
                  <c:v>5059.257177083</c:v>
                </c:pt>
                <c:pt idx="140">
                  <c:v>4306.132456888</c:v>
                </c:pt>
                <c:pt idx="141">
                  <c:v>2869.0701372100002</c:v>
                </c:pt>
                <c:pt idx="142">
                  <c:v>2263.7564402120001</c:v>
                </c:pt>
                <c:pt idx="143">
                  <c:v>1940.3414308419999</c:v>
                </c:pt>
                <c:pt idx="144">
                  <c:v>1701.84353375</c:v>
                </c:pt>
                <c:pt idx="145">
                  <c:v>1653.6642591299999</c:v>
                </c:pt>
                <c:pt idx="146">
                  <c:v>2310.99112298</c:v>
                </c:pt>
                <c:pt idx="147">
                  <c:v>3821.2599401960001</c:v>
                </c:pt>
                <c:pt idx="148">
                  <c:v>3524.8131362620002</c:v>
                </c:pt>
                <c:pt idx="149">
                  <c:v>2941.4305605969998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01C-4873-B5F9-DF962CDB50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9938104"/>
        <c:axId val="839933184"/>
      </c:lineChart>
      <c:dateAx>
        <c:axId val="722389072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389400"/>
        <c:crosses val="autoZero"/>
        <c:auto val="0"/>
        <c:lblOffset val="100"/>
        <c:baseTimeUnit val="months"/>
      </c:dateAx>
      <c:valAx>
        <c:axId val="722389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Lapse Rate (C/km)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389072"/>
        <c:crosses val="autoZero"/>
        <c:crossBetween val="between"/>
      </c:valAx>
      <c:valAx>
        <c:axId val="839933184"/>
        <c:scaling>
          <c:orientation val="minMax"/>
        </c:scaling>
        <c:delete val="0"/>
        <c:axPos val="r"/>
        <c:title>
          <c:tx>
            <c:rich>
              <a:bodyPr rot="540000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Summed Discharge (cms)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540000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938104"/>
        <c:crosses val="max"/>
        <c:crossBetween val="between"/>
      </c:valAx>
      <c:dateAx>
        <c:axId val="839938104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839933184"/>
        <c:crosses val="autoZero"/>
        <c:auto val="0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Freezing Level </a:t>
            </a:r>
            <a:r>
              <a:rPr lang="en-US" baseline="0"/>
              <a:t>and Average Discharge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Monthly_Temp_LRs_FLs!$H$2</c:f>
              <c:strCache>
                <c:ptCount val="1"/>
                <c:pt idx="0">
                  <c:v>Elevation at Temp = 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0746230199514202"/>
                  <c:y val="-0.2032901687201895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Monthly_Temp_LRs_FLs!$A$3:$A$157</c:f>
              <c:numCache>
                <c:formatCode>mmm\-yy</c:formatCode>
                <c:ptCount val="155"/>
                <c:pt idx="0">
                  <c:v>38930</c:v>
                </c:pt>
                <c:pt idx="1">
                  <c:v>38961</c:v>
                </c:pt>
                <c:pt idx="2">
                  <c:v>38991</c:v>
                </c:pt>
                <c:pt idx="3">
                  <c:v>39022</c:v>
                </c:pt>
                <c:pt idx="4">
                  <c:v>39052</c:v>
                </c:pt>
                <c:pt idx="5">
                  <c:v>39083</c:v>
                </c:pt>
                <c:pt idx="6">
                  <c:v>39114</c:v>
                </c:pt>
                <c:pt idx="7">
                  <c:v>39142</c:v>
                </c:pt>
                <c:pt idx="8">
                  <c:v>39173</c:v>
                </c:pt>
                <c:pt idx="9">
                  <c:v>39203</c:v>
                </c:pt>
                <c:pt idx="10">
                  <c:v>39234</c:v>
                </c:pt>
                <c:pt idx="11">
                  <c:v>39264</c:v>
                </c:pt>
                <c:pt idx="12">
                  <c:v>39295</c:v>
                </c:pt>
                <c:pt idx="13">
                  <c:v>39326</c:v>
                </c:pt>
                <c:pt idx="14">
                  <c:v>39356</c:v>
                </c:pt>
                <c:pt idx="15">
                  <c:v>39387</c:v>
                </c:pt>
                <c:pt idx="16">
                  <c:v>39417</c:v>
                </c:pt>
                <c:pt idx="17">
                  <c:v>39448</c:v>
                </c:pt>
                <c:pt idx="18">
                  <c:v>39479</c:v>
                </c:pt>
                <c:pt idx="19">
                  <c:v>39508</c:v>
                </c:pt>
                <c:pt idx="20">
                  <c:v>39539</c:v>
                </c:pt>
                <c:pt idx="21">
                  <c:v>39569</c:v>
                </c:pt>
                <c:pt idx="22">
                  <c:v>39600</c:v>
                </c:pt>
                <c:pt idx="23">
                  <c:v>39630</c:v>
                </c:pt>
                <c:pt idx="24">
                  <c:v>39661</c:v>
                </c:pt>
                <c:pt idx="25">
                  <c:v>39692</c:v>
                </c:pt>
                <c:pt idx="26">
                  <c:v>39722</c:v>
                </c:pt>
                <c:pt idx="27">
                  <c:v>39753</c:v>
                </c:pt>
                <c:pt idx="28">
                  <c:v>39783</c:v>
                </c:pt>
                <c:pt idx="29">
                  <c:v>39814</c:v>
                </c:pt>
                <c:pt idx="30">
                  <c:v>39845</c:v>
                </c:pt>
                <c:pt idx="31">
                  <c:v>39873</c:v>
                </c:pt>
                <c:pt idx="32">
                  <c:v>39904</c:v>
                </c:pt>
                <c:pt idx="33">
                  <c:v>39934</c:v>
                </c:pt>
                <c:pt idx="34">
                  <c:v>39965</c:v>
                </c:pt>
                <c:pt idx="35">
                  <c:v>39995</c:v>
                </c:pt>
                <c:pt idx="36">
                  <c:v>40026</c:v>
                </c:pt>
                <c:pt idx="37">
                  <c:v>40057</c:v>
                </c:pt>
                <c:pt idx="38">
                  <c:v>40087</c:v>
                </c:pt>
                <c:pt idx="39">
                  <c:v>40118</c:v>
                </c:pt>
                <c:pt idx="40">
                  <c:v>40148</c:v>
                </c:pt>
                <c:pt idx="41">
                  <c:v>40179</c:v>
                </c:pt>
                <c:pt idx="42">
                  <c:v>40210</c:v>
                </c:pt>
                <c:pt idx="43">
                  <c:v>40238</c:v>
                </c:pt>
                <c:pt idx="44">
                  <c:v>40269</c:v>
                </c:pt>
                <c:pt idx="45">
                  <c:v>40299</c:v>
                </c:pt>
                <c:pt idx="46">
                  <c:v>40330</c:v>
                </c:pt>
                <c:pt idx="47">
                  <c:v>40360</c:v>
                </c:pt>
                <c:pt idx="48">
                  <c:v>40391</c:v>
                </c:pt>
                <c:pt idx="49">
                  <c:v>40422</c:v>
                </c:pt>
                <c:pt idx="50">
                  <c:v>40452</c:v>
                </c:pt>
                <c:pt idx="51">
                  <c:v>40483</c:v>
                </c:pt>
                <c:pt idx="52">
                  <c:v>40513</c:v>
                </c:pt>
                <c:pt idx="53">
                  <c:v>40544</c:v>
                </c:pt>
                <c:pt idx="54">
                  <c:v>40575</c:v>
                </c:pt>
                <c:pt idx="55">
                  <c:v>40603</c:v>
                </c:pt>
                <c:pt idx="56">
                  <c:v>40634</c:v>
                </c:pt>
                <c:pt idx="57">
                  <c:v>40664</c:v>
                </c:pt>
                <c:pt idx="58">
                  <c:v>40695</c:v>
                </c:pt>
                <c:pt idx="59">
                  <c:v>40725</c:v>
                </c:pt>
                <c:pt idx="60">
                  <c:v>40756</c:v>
                </c:pt>
                <c:pt idx="61">
                  <c:v>40787</c:v>
                </c:pt>
                <c:pt idx="62">
                  <c:v>40817</c:v>
                </c:pt>
                <c:pt idx="63">
                  <c:v>40848</c:v>
                </c:pt>
                <c:pt idx="64">
                  <c:v>40878</c:v>
                </c:pt>
                <c:pt idx="65">
                  <c:v>40909</c:v>
                </c:pt>
                <c:pt idx="66">
                  <c:v>40940</c:v>
                </c:pt>
                <c:pt idx="67">
                  <c:v>40969</c:v>
                </c:pt>
                <c:pt idx="68">
                  <c:v>41000</c:v>
                </c:pt>
                <c:pt idx="69">
                  <c:v>41030</c:v>
                </c:pt>
                <c:pt idx="70">
                  <c:v>41061</c:v>
                </c:pt>
                <c:pt idx="71">
                  <c:v>41091</c:v>
                </c:pt>
                <c:pt idx="72">
                  <c:v>41122</c:v>
                </c:pt>
                <c:pt idx="73">
                  <c:v>41153</c:v>
                </c:pt>
                <c:pt idx="74">
                  <c:v>41183</c:v>
                </c:pt>
                <c:pt idx="75">
                  <c:v>41214</c:v>
                </c:pt>
                <c:pt idx="76">
                  <c:v>41244</c:v>
                </c:pt>
                <c:pt idx="77">
                  <c:v>41275</c:v>
                </c:pt>
                <c:pt idx="78">
                  <c:v>41306</c:v>
                </c:pt>
                <c:pt idx="79">
                  <c:v>41334</c:v>
                </c:pt>
                <c:pt idx="80">
                  <c:v>41365</c:v>
                </c:pt>
                <c:pt idx="81">
                  <c:v>41395</c:v>
                </c:pt>
                <c:pt idx="82">
                  <c:v>41426</c:v>
                </c:pt>
                <c:pt idx="83">
                  <c:v>41456</c:v>
                </c:pt>
                <c:pt idx="84">
                  <c:v>41487</c:v>
                </c:pt>
                <c:pt idx="85">
                  <c:v>41518</c:v>
                </c:pt>
                <c:pt idx="86">
                  <c:v>41548</c:v>
                </c:pt>
                <c:pt idx="87">
                  <c:v>41579</c:v>
                </c:pt>
                <c:pt idx="88">
                  <c:v>41609</c:v>
                </c:pt>
                <c:pt idx="89">
                  <c:v>41640</c:v>
                </c:pt>
                <c:pt idx="90">
                  <c:v>41671</c:v>
                </c:pt>
                <c:pt idx="91">
                  <c:v>41699</c:v>
                </c:pt>
                <c:pt idx="92">
                  <c:v>41730</c:v>
                </c:pt>
                <c:pt idx="93">
                  <c:v>41760</c:v>
                </c:pt>
                <c:pt idx="94">
                  <c:v>41791</c:v>
                </c:pt>
                <c:pt idx="95">
                  <c:v>41821</c:v>
                </c:pt>
                <c:pt idx="96">
                  <c:v>41852</c:v>
                </c:pt>
                <c:pt idx="97">
                  <c:v>41883</c:v>
                </c:pt>
                <c:pt idx="98">
                  <c:v>41913</c:v>
                </c:pt>
                <c:pt idx="99">
                  <c:v>41944</c:v>
                </c:pt>
                <c:pt idx="100">
                  <c:v>41974</c:v>
                </c:pt>
                <c:pt idx="101">
                  <c:v>42005</c:v>
                </c:pt>
                <c:pt idx="102">
                  <c:v>42036</c:v>
                </c:pt>
                <c:pt idx="103">
                  <c:v>42064</c:v>
                </c:pt>
                <c:pt idx="104">
                  <c:v>42095</c:v>
                </c:pt>
                <c:pt idx="105">
                  <c:v>42125</c:v>
                </c:pt>
                <c:pt idx="106">
                  <c:v>42156</c:v>
                </c:pt>
                <c:pt idx="107">
                  <c:v>42186</c:v>
                </c:pt>
                <c:pt idx="108">
                  <c:v>42217</c:v>
                </c:pt>
                <c:pt idx="109">
                  <c:v>42248</c:v>
                </c:pt>
                <c:pt idx="110">
                  <c:v>42278</c:v>
                </c:pt>
                <c:pt idx="111">
                  <c:v>42309</c:v>
                </c:pt>
                <c:pt idx="112">
                  <c:v>42339</c:v>
                </c:pt>
                <c:pt idx="113">
                  <c:v>42370</c:v>
                </c:pt>
                <c:pt idx="114">
                  <c:v>42401</c:v>
                </c:pt>
                <c:pt idx="115">
                  <c:v>42430</c:v>
                </c:pt>
                <c:pt idx="116">
                  <c:v>42461</c:v>
                </c:pt>
                <c:pt idx="117">
                  <c:v>42491</c:v>
                </c:pt>
                <c:pt idx="118">
                  <c:v>42522</c:v>
                </c:pt>
                <c:pt idx="119">
                  <c:v>42552</c:v>
                </c:pt>
                <c:pt idx="120">
                  <c:v>42583</c:v>
                </c:pt>
                <c:pt idx="121">
                  <c:v>42614</c:v>
                </c:pt>
                <c:pt idx="122">
                  <c:v>42644</c:v>
                </c:pt>
                <c:pt idx="123">
                  <c:v>42675</c:v>
                </c:pt>
                <c:pt idx="124">
                  <c:v>42705</c:v>
                </c:pt>
                <c:pt idx="125">
                  <c:v>42736</c:v>
                </c:pt>
                <c:pt idx="126">
                  <c:v>42767</c:v>
                </c:pt>
                <c:pt idx="127">
                  <c:v>42795</c:v>
                </c:pt>
                <c:pt idx="128">
                  <c:v>42826</c:v>
                </c:pt>
                <c:pt idx="129">
                  <c:v>42856</c:v>
                </c:pt>
                <c:pt idx="130">
                  <c:v>42887</c:v>
                </c:pt>
                <c:pt idx="131">
                  <c:v>42917</c:v>
                </c:pt>
                <c:pt idx="132">
                  <c:v>42948</c:v>
                </c:pt>
                <c:pt idx="133">
                  <c:v>42979</c:v>
                </c:pt>
                <c:pt idx="134">
                  <c:v>43009</c:v>
                </c:pt>
                <c:pt idx="135">
                  <c:v>43040</c:v>
                </c:pt>
                <c:pt idx="136">
                  <c:v>43070</c:v>
                </c:pt>
                <c:pt idx="137">
                  <c:v>43101</c:v>
                </c:pt>
                <c:pt idx="138">
                  <c:v>43132</c:v>
                </c:pt>
                <c:pt idx="139">
                  <c:v>43160</c:v>
                </c:pt>
                <c:pt idx="140">
                  <c:v>43191</c:v>
                </c:pt>
                <c:pt idx="141">
                  <c:v>43221</c:v>
                </c:pt>
                <c:pt idx="142">
                  <c:v>43252</c:v>
                </c:pt>
                <c:pt idx="143">
                  <c:v>43282</c:v>
                </c:pt>
                <c:pt idx="144">
                  <c:v>43313</c:v>
                </c:pt>
                <c:pt idx="145">
                  <c:v>43344</c:v>
                </c:pt>
                <c:pt idx="146">
                  <c:v>43374</c:v>
                </c:pt>
                <c:pt idx="147">
                  <c:v>43405</c:v>
                </c:pt>
                <c:pt idx="148">
                  <c:v>43435</c:v>
                </c:pt>
                <c:pt idx="149">
                  <c:v>43466</c:v>
                </c:pt>
                <c:pt idx="150">
                  <c:v>43497</c:v>
                </c:pt>
                <c:pt idx="151">
                  <c:v>43525</c:v>
                </c:pt>
                <c:pt idx="152">
                  <c:v>43556</c:v>
                </c:pt>
                <c:pt idx="153">
                  <c:v>43586</c:v>
                </c:pt>
                <c:pt idx="154">
                  <c:v>43617</c:v>
                </c:pt>
              </c:numCache>
            </c:numRef>
          </c:cat>
          <c:val>
            <c:numRef>
              <c:f>Monthly_Temp_LRs_FLs!$H$3:$H$157</c:f>
              <c:numCache>
                <c:formatCode>0.0</c:formatCode>
                <c:ptCount val="155"/>
                <c:pt idx="0">
                  <c:v>4830.7273176621002</c:v>
                </c:pt>
                <c:pt idx="1">
                  <c:v>4878.041136123421</c:v>
                </c:pt>
                <c:pt idx="2">
                  <c:v>4928.5014155801582</c:v>
                </c:pt>
                <c:pt idx="3">
                  <c:v>4872.5567859074399</c:v>
                </c:pt>
                <c:pt idx="4">
                  <c:v>4925.2000173357483</c:v>
                </c:pt>
                <c:pt idx="5">
                  <c:v>5003.3883069242138</c:v>
                </c:pt>
                <c:pt idx="6">
                  <c:v>4933.026506488417</c:v>
                </c:pt>
                <c:pt idx="7">
                  <c:v>4832.0534613737445</c:v>
                </c:pt>
                <c:pt idx="8">
                  <c:v>4858.8305196445717</c:v>
                </c:pt>
                <c:pt idx="9">
                  <c:v>4950.3344268366263</c:v>
                </c:pt>
                <c:pt idx="10">
                  <c:v>4826.8605974545271</c:v>
                </c:pt>
                <c:pt idx="11">
                  <c:v>4719.2363937598411</c:v>
                </c:pt>
                <c:pt idx="12">
                  <c:v>5246.7645951035738</c:v>
                </c:pt>
                <c:pt idx="13">
                  <c:v>5047.3565406581429</c:v>
                </c:pt>
                <c:pt idx="14">
                  <c:v>5289.8777585876014</c:v>
                </c:pt>
                <c:pt idx="15">
                  <c:v>5442.7204853009735</c:v>
                </c:pt>
                <c:pt idx="16">
                  <c:v>5487.2664700098285</c:v>
                </c:pt>
                <c:pt idx="17">
                  <c:v>5291.8733594475616</c:v>
                </c:pt>
                <c:pt idx="18">
                  <c:v>5234.4716817985327</c:v>
                </c:pt>
                <c:pt idx="19">
                  <c:v>5081.9469405220379</c:v>
                </c:pt>
                <c:pt idx="20">
                  <c:v>5235.0809741624416</c:v>
                </c:pt>
                <c:pt idx="21">
                  <c:v>5353.3469479906416</c:v>
                </c:pt>
                <c:pt idx="22">
                  <c:v>5271.7140825035531</c:v>
                </c:pt>
                <c:pt idx="23">
                  <c:v>4842.6152429704271</c:v>
                </c:pt>
                <c:pt idx="24">
                  <c:v>4848.4632926241129</c:v>
                </c:pt>
                <c:pt idx="25">
                  <c:v>4820.3688663453031</c:v>
                </c:pt>
                <c:pt idx="26">
                  <c:v>4796.7807481558893</c:v>
                </c:pt>
                <c:pt idx="27">
                  <c:v>4910.0093968889805</c:v>
                </c:pt>
                <c:pt idx="28">
                  <c:v>4880.5074148309241</c:v>
                </c:pt>
                <c:pt idx="29">
                  <c:v>4793.0784916922885</c:v>
                </c:pt>
                <c:pt idx="30">
                  <c:v>4805.1553677327975</c:v>
                </c:pt>
                <c:pt idx="31">
                  <c:v>4776.4760265516725</c:v>
                </c:pt>
                <c:pt idx="32">
                  <c:v>4842.1374139549416</c:v>
                </c:pt>
                <c:pt idx="33">
                  <c:v>4880.3449133331296</c:v>
                </c:pt>
                <c:pt idx="34">
                  <c:v>4853.6301112983192</c:v>
                </c:pt>
                <c:pt idx="35">
                  <c:v>4923.4672035258936</c:v>
                </c:pt>
                <c:pt idx="36">
                  <c:v>5340.5741916021598</c:v>
                </c:pt>
                <c:pt idx="37">
                  <c:v>5344.8058726580248</c:v>
                </c:pt>
                <c:pt idx="38">
                  <c:v>5409.6176984674685</c:v>
                </c:pt>
                <c:pt idx="39">
                  <c:v>5722.7353947896845</c:v>
                </c:pt>
                <c:pt idx="40">
                  <c:v>5327.9849412530857</c:v>
                </c:pt>
                <c:pt idx="41">
                  <c:v>5121.4368727210613</c:v>
                </c:pt>
                <c:pt idx="42">
                  <c:v>5188.9071502349834</c:v>
                </c:pt>
                <c:pt idx="43">
                  <c:v>5076.8611964106885</c:v>
                </c:pt>
                <c:pt idx="44">
                  <c:v>5209.3912441355669</c:v>
                </c:pt>
                <c:pt idx="45">
                  <c:v>5224.1466287485282</c:v>
                </c:pt>
                <c:pt idx="46">
                  <c:v>5036.162147035202</c:v>
                </c:pt>
                <c:pt idx="47">
                  <c:v>5052.1383701031282</c:v>
                </c:pt>
                <c:pt idx="48">
                  <c:v>4995.8268304570211</c:v>
                </c:pt>
                <c:pt idx="49">
                  <c:v>4972.3920654257145</c:v>
                </c:pt>
                <c:pt idx="50">
                  <c:v>4983.3461474177611</c:v>
                </c:pt>
                <c:pt idx="51">
                  <c:v>4977.8671742796569</c:v>
                </c:pt>
                <c:pt idx="52">
                  <c:v>4884.6885557085661</c:v>
                </c:pt>
                <c:pt idx="53">
                  <c:v>4916.7397372236837</c:v>
                </c:pt>
                <c:pt idx="54">
                  <c:v>4882.8248451163672</c:v>
                </c:pt>
                <c:pt idx="55">
                  <c:v>4863.7367882493991</c:v>
                </c:pt>
                <c:pt idx="56">
                  <c:v>4915.1520744906875</c:v>
                </c:pt>
                <c:pt idx="57">
                  <c:v>4983.25444556394</c:v>
                </c:pt>
                <c:pt idx="58">
                  <c:v>4987.0310042489546</c:v>
                </c:pt>
                <c:pt idx="59">
                  <c:v>4837.5956204743579</c:v>
                </c:pt>
                <c:pt idx="60">
                  <c:v>4936.7926505220721</c:v>
                </c:pt>
                <c:pt idx="61">
                  <c:v>4874.5184204691941</c:v>
                </c:pt>
                <c:pt idx="62">
                  <c:v>4913.2062260009843</c:v>
                </c:pt>
                <c:pt idx="63">
                  <c:v>4963.2783700396194</c:v>
                </c:pt>
                <c:pt idx="64">
                  <c:v>4939.7423818432353</c:v>
                </c:pt>
                <c:pt idx="65">
                  <c:v>4960.1350274249926</c:v>
                </c:pt>
                <c:pt idx="66">
                  <c:v>4868.5506775874373</c:v>
                </c:pt>
                <c:pt idx="67">
                  <c:v>4866.5327489454876</c:v>
                </c:pt>
                <c:pt idx="68">
                  <c:v>4897.292388947063</c:v>
                </c:pt>
                <c:pt idx="69">
                  <c:v>4932.6044792413677</c:v>
                </c:pt>
                <c:pt idx="70">
                  <c:v>4815.4932991180267</c:v>
                </c:pt>
                <c:pt idx="71">
                  <c:v>4866.8861632093567</c:v>
                </c:pt>
                <c:pt idx="83">
                  <c:v>4851.8952956094663</c:v>
                </c:pt>
                <c:pt idx="84">
                  <c:v>4873.2728172545831</c:v>
                </c:pt>
                <c:pt idx="85">
                  <c:v>4880.6047143596879</c:v>
                </c:pt>
                <c:pt idx="86">
                  <c:v>4878.7072478178043</c:v>
                </c:pt>
                <c:pt idx="87">
                  <c:v>4856.7136372106261</c:v>
                </c:pt>
                <c:pt idx="88">
                  <c:v>4845.9232853152052</c:v>
                </c:pt>
                <c:pt idx="89">
                  <c:v>4889.7369843631996</c:v>
                </c:pt>
                <c:pt idx="90">
                  <c:v>4890.0974387219385</c:v>
                </c:pt>
                <c:pt idx="91">
                  <c:v>4859.2533105653092</c:v>
                </c:pt>
                <c:pt idx="92">
                  <c:v>5023.0314224259155</c:v>
                </c:pt>
                <c:pt idx="93">
                  <c:v>4995.6897605167032</c:v>
                </c:pt>
                <c:pt idx="94">
                  <c:v>5009.2188235655767</c:v>
                </c:pt>
                <c:pt idx="95">
                  <c:v>4874.087959399486</c:v>
                </c:pt>
                <c:pt idx="96">
                  <c:v>4835.9552889260249</c:v>
                </c:pt>
                <c:pt idx="97">
                  <c:v>4883.134745788213</c:v>
                </c:pt>
                <c:pt idx="98">
                  <c:v>4874.1830460895926</c:v>
                </c:pt>
                <c:pt idx="99">
                  <c:v>5030.3684494826311</c:v>
                </c:pt>
                <c:pt idx="100">
                  <c:v>4993.265624764208</c:v>
                </c:pt>
                <c:pt idx="101">
                  <c:v>4912.0513329955375</c:v>
                </c:pt>
                <c:pt idx="102">
                  <c:v>4962.4905862105306</c:v>
                </c:pt>
                <c:pt idx="103">
                  <c:v>4933.2446818583949</c:v>
                </c:pt>
                <c:pt idx="104">
                  <c:v>4905.5379019115971</c:v>
                </c:pt>
                <c:pt idx="105">
                  <c:v>4964.3282042942992</c:v>
                </c:pt>
                <c:pt idx="106">
                  <c:v>4937.2598942524673</c:v>
                </c:pt>
                <c:pt idx="107">
                  <c:v>4966.3782165053517</c:v>
                </c:pt>
                <c:pt idx="108">
                  <c:v>5055.1238996115317</c:v>
                </c:pt>
                <c:pt idx="109">
                  <c:v>5170.63498516459</c:v>
                </c:pt>
                <c:pt idx="110">
                  <c:v>5157.3070538948705</c:v>
                </c:pt>
                <c:pt idx="111">
                  <c:v>5247.9307226238461</c:v>
                </c:pt>
                <c:pt idx="112">
                  <c:v>5279.3458163714849</c:v>
                </c:pt>
                <c:pt idx="113">
                  <c:v>5457.7464206011682</c:v>
                </c:pt>
                <c:pt idx="114">
                  <c:v>5348.4805782798539</c:v>
                </c:pt>
                <c:pt idx="115">
                  <c:v>5343.2957800320619</c:v>
                </c:pt>
                <c:pt idx="116">
                  <c:v>5223.9103526812733</c:v>
                </c:pt>
                <c:pt idx="117">
                  <c:v>5146.5116415968196</c:v>
                </c:pt>
                <c:pt idx="118">
                  <c:v>4907.9233966087149</c:v>
                </c:pt>
                <c:pt idx="119">
                  <c:v>4912.4173940084056</c:v>
                </c:pt>
                <c:pt idx="120">
                  <c:v>5039.5704507039791</c:v>
                </c:pt>
                <c:pt idx="121">
                  <c:v>5061.201860550721</c:v>
                </c:pt>
                <c:pt idx="122">
                  <c:v>5099.854350388794</c:v>
                </c:pt>
                <c:pt idx="123">
                  <c:v>5073.2827675786775</c:v>
                </c:pt>
                <c:pt idx="124">
                  <c:v>5161.8684341367489</c:v>
                </c:pt>
                <c:pt idx="125">
                  <c:v>5063.1710057614628</c:v>
                </c:pt>
                <c:pt idx="126">
                  <c:v>5153.1756568863693</c:v>
                </c:pt>
                <c:pt idx="127">
                  <c:v>5032.2636027826229</c:v>
                </c:pt>
                <c:pt idx="128">
                  <c:v>5102.8661276268977</c:v>
                </c:pt>
                <c:pt idx="129">
                  <c:v>5120.0600384384979</c:v>
                </c:pt>
                <c:pt idx="130">
                  <c:v>4992.0840881866006</c:v>
                </c:pt>
                <c:pt idx="131">
                  <c:v>4891.8756226199821</c:v>
                </c:pt>
                <c:pt idx="132">
                  <c:v>5002.3829002366838</c:v>
                </c:pt>
                <c:pt idx="133">
                  <c:v>5038.7564337590375</c:v>
                </c:pt>
                <c:pt idx="134">
                  <c:v>5116.2233518209605</c:v>
                </c:pt>
                <c:pt idx="135">
                  <c:v>5144.1700632464908</c:v>
                </c:pt>
                <c:pt idx="136">
                  <c:v>5141.504281903166</c:v>
                </c:pt>
                <c:pt idx="137">
                  <c:v>5010.5904005255261</c:v>
                </c:pt>
                <c:pt idx="138">
                  <c:v>5206.0750713454363</c:v>
                </c:pt>
                <c:pt idx="139">
                  <c:v>5070.9885410420302</c:v>
                </c:pt>
                <c:pt idx="140">
                  <c:v>4962.6919114678885</c:v>
                </c:pt>
                <c:pt idx="141">
                  <c:v>5021.8312462935719</c:v>
                </c:pt>
                <c:pt idx="142">
                  <c:v>4819.3692321801072</c:v>
                </c:pt>
                <c:pt idx="143">
                  <c:v>4910.1402977498401</c:v>
                </c:pt>
                <c:pt idx="144">
                  <c:v>4962.7426938877006</c:v>
                </c:pt>
                <c:pt idx="145">
                  <c:v>5121.7644910125309</c:v>
                </c:pt>
                <c:pt idx="146">
                  <c:v>5130.8739926521921</c:v>
                </c:pt>
                <c:pt idx="147">
                  <c:v>5295.10153128812</c:v>
                </c:pt>
                <c:pt idx="148">
                  <c:v>5157.0583722546471</c:v>
                </c:pt>
                <c:pt idx="149">
                  <c:v>5119.2235554113768</c:v>
                </c:pt>
                <c:pt idx="150">
                  <c:v>5198.1159257875697</c:v>
                </c:pt>
                <c:pt idx="151">
                  <c:v>5156.8063481609242</c:v>
                </c:pt>
                <c:pt idx="152">
                  <c:v>5310.8314982693119</c:v>
                </c:pt>
                <c:pt idx="153">
                  <c:v>5265.5184088840151</c:v>
                </c:pt>
                <c:pt idx="154">
                  <c:v>5084.004619134982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9C-4EAE-B987-9B194871FE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2389072"/>
        <c:axId val="722389400"/>
      </c:lineChart>
      <c:lineChart>
        <c:grouping val="standard"/>
        <c:varyColors val="0"/>
        <c:ser>
          <c:idx val="1"/>
          <c:order val="1"/>
          <c:tx>
            <c:strRef>
              <c:f>Monthly_Temp_LRs_FLs!$AX$2</c:f>
              <c:strCache>
                <c:ptCount val="1"/>
                <c:pt idx="0">
                  <c:v>Average Discharge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Monthly_Temp_LRs_FLs!$A$3:$A$157</c:f>
              <c:numCache>
                <c:formatCode>mmm\-yy</c:formatCode>
                <c:ptCount val="155"/>
                <c:pt idx="0">
                  <c:v>38930</c:v>
                </c:pt>
                <c:pt idx="1">
                  <c:v>38961</c:v>
                </c:pt>
                <c:pt idx="2">
                  <c:v>38991</c:v>
                </c:pt>
                <c:pt idx="3">
                  <c:v>39022</c:v>
                </c:pt>
                <c:pt idx="4">
                  <c:v>39052</c:v>
                </c:pt>
                <c:pt idx="5">
                  <c:v>39083</c:v>
                </c:pt>
                <c:pt idx="6">
                  <c:v>39114</c:v>
                </c:pt>
                <c:pt idx="7">
                  <c:v>39142</c:v>
                </c:pt>
                <c:pt idx="8">
                  <c:v>39173</c:v>
                </c:pt>
                <c:pt idx="9">
                  <c:v>39203</c:v>
                </c:pt>
                <c:pt idx="10">
                  <c:v>39234</c:v>
                </c:pt>
                <c:pt idx="11">
                  <c:v>39264</c:v>
                </c:pt>
                <c:pt idx="12">
                  <c:v>39295</c:v>
                </c:pt>
                <c:pt idx="13">
                  <c:v>39326</c:v>
                </c:pt>
                <c:pt idx="14">
                  <c:v>39356</c:v>
                </c:pt>
                <c:pt idx="15">
                  <c:v>39387</c:v>
                </c:pt>
                <c:pt idx="16">
                  <c:v>39417</c:v>
                </c:pt>
                <c:pt idx="17">
                  <c:v>39448</c:v>
                </c:pt>
                <c:pt idx="18">
                  <c:v>39479</c:v>
                </c:pt>
                <c:pt idx="19">
                  <c:v>39508</c:v>
                </c:pt>
                <c:pt idx="20">
                  <c:v>39539</c:v>
                </c:pt>
                <c:pt idx="21">
                  <c:v>39569</c:v>
                </c:pt>
                <c:pt idx="22">
                  <c:v>39600</c:v>
                </c:pt>
                <c:pt idx="23">
                  <c:v>39630</c:v>
                </c:pt>
                <c:pt idx="24">
                  <c:v>39661</c:v>
                </c:pt>
                <c:pt idx="25">
                  <c:v>39692</c:v>
                </c:pt>
                <c:pt idx="26">
                  <c:v>39722</c:v>
                </c:pt>
                <c:pt idx="27">
                  <c:v>39753</c:v>
                </c:pt>
                <c:pt idx="28">
                  <c:v>39783</c:v>
                </c:pt>
                <c:pt idx="29">
                  <c:v>39814</c:v>
                </c:pt>
                <c:pt idx="30">
                  <c:v>39845</c:v>
                </c:pt>
                <c:pt idx="31">
                  <c:v>39873</c:v>
                </c:pt>
                <c:pt idx="32">
                  <c:v>39904</c:v>
                </c:pt>
                <c:pt idx="33">
                  <c:v>39934</c:v>
                </c:pt>
                <c:pt idx="34">
                  <c:v>39965</c:v>
                </c:pt>
                <c:pt idx="35">
                  <c:v>39995</c:v>
                </c:pt>
                <c:pt idx="36">
                  <c:v>40026</c:v>
                </c:pt>
                <c:pt idx="37">
                  <c:v>40057</c:v>
                </c:pt>
                <c:pt idx="38">
                  <c:v>40087</c:v>
                </c:pt>
                <c:pt idx="39">
                  <c:v>40118</c:v>
                </c:pt>
                <c:pt idx="40">
                  <c:v>40148</c:v>
                </c:pt>
                <c:pt idx="41">
                  <c:v>40179</c:v>
                </c:pt>
                <c:pt idx="42">
                  <c:v>40210</c:v>
                </c:pt>
                <c:pt idx="43">
                  <c:v>40238</c:v>
                </c:pt>
                <c:pt idx="44">
                  <c:v>40269</c:v>
                </c:pt>
                <c:pt idx="45">
                  <c:v>40299</c:v>
                </c:pt>
                <c:pt idx="46">
                  <c:v>40330</c:v>
                </c:pt>
                <c:pt idx="47">
                  <c:v>40360</c:v>
                </c:pt>
                <c:pt idx="48">
                  <c:v>40391</c:v>
                </c:pt>
                <c:pt idx="49">
                  <c:v>40422</c:v>
                </c:pt>
                <c:pt idx="50">
                  <c:v>40452</c:v>
                </c:pt>
                <c:pt idx="51">
                  <c:v>40483</c:v>
                </c:pt>
                <c:pt idx="52">
                  <c:v>40513</c:v>
                </c:pt>
                <c:pt idx="53">
                  <c:v>40544</c:v>
                </c:pt>
                <c:pt idx="54">
                  <c:v>40575</c:v>
                </c:pt>
                <c:pt idx="55">
                  <c:v>40603</c:v>
                </c:pt>
                <c:pt idx="56">
                  <c:v>40634</c:v>
                </c:pt>
                <c:pt idx="57">
                  <c:v>40664</c:v>
                </c:pt>
                <c:pt idx="58">
                  <c:v>40695</c:v>
                </c:pt>
                <c:pt idx="59">
                  <c:v>40725</c:v>
                </c:pt>
                <c:pt idx="60">
                  <c:v>40756</c:v>
                </c:pt>
                <c:pt idx="61">
                  <c:v>40787</c:v>
                </c:pt>
                <c:pt idx="62">
                  <c:v>40817</c:v>
                </c:pt>
                <c:pt idx="63">
                  <c:v>40848</c:v>
                </c:pt>
                <c:pt idx="64">
                  <c:v>40878</c:v>
                </c:pt>
                <c:pt idx="65">
                  <c:v>40909</c:v>
                </c:pt>
                <c:pt idx="66">
                  <c:v>40940</c:v>
                </c:pt>
                <c:pt idx="67">
                  <c:v>40969</c:v>
                </c:pt>
                <c:pt idx="68">
                  <c:v>41000</c:v>
                </c:pt>
                <c:pt idx="69">
                  <c:v>41030</c:v>
                </c:pt>
                <c:pt idx="70">
                  <c:v>41061</c:v>
                </c:pt>
                <c:pt idx="71">
                  <c:v>41091</c:v>
                </c:pt>
                <c:pt idx="72">
                  <c:v>41122</c:v>
                </c:pt>
                <c:pt idx="73">
                  <c:v>41153</c:v>
                </c:pt>
                <c:pt idx="74">
                  <c:v>41183</c:v>
                </c:pt>
                <c:pt idx="75">
                  <c:v>41214</c:v>
                </c:pt>
                <c:pt idx="76">
                  <c:v>41244</c:v>
                </c:pt>
                <c:pt idx="77">
                  <c:v>41275</c:v>
                </c:pt>
                <c:pt idx="78">
                  <c:v>41306</c:v>
                </c:pt>
                <c:pt idx="79">
                  <c:v>41334</c:v>
                </c:pt>
                <c:pt idx="80">
                  <c:v>41365</c:v>
                </c:pt>
                <c:pt idx="81">
                  <c:v>41395</c:v>
                </c:pt>
                <c:pt idx="82">
                  <c:v>41426</c:v>
                </c:pt>
                <c:pt idx="83">
                  <c:v>41456</c:v>
                </c:pt>
                <c:pt idx="84">
                  <c:v>41487</c:v>
                </c:pt>
                <c:pt idx="85">
                  <c:v>41518</c:v>
                </c:pt>
                <c:pt idx="86">
                  <c:v>41548</c:v>
                </c:pt>
                <c:pt idx="87">
                  <c:v>41579</c:v>
                </c:pt>
                <c:pt idx="88">
                  <c:v>41609</c:v>
                </c:pt>
                <c:pt idx="89">
                  <c:v>41640</c:v>
                </c:pt>
                <c:pt idx="90">
                  <c:v>41671</c:v>
                </c:pt>
                <c:pt idx="91">
                  <c:v>41699</c:v>
                </c:pt>
                <c:pt idx="92">
                  <c:v>41730</c:v>
                </c:pt>
                <c:pt idx="93">
                  <c:v>41760</c:v>
                </c:pt>
                <c:pt idx="94">
                  <c:v>41791</c:v>
                </c:pt>
                <c:pt idx="95">
                  <c:v>41821</c:v>
                </c:pt>
                <c:pt idx="96">
                  <c:v>41852</c:v>
                </c:pt>
                <c:pt idx="97">
                  <c:v>41883</c:v>
                </c:pt>
                <c:pt idx="98">
                  <c:v>41913</c:v>
                </c:pt>
                <c:pt idx="99">
                  <c:v>41944</c:v>
                </c:pt>
                <c:pt idx="100">
                  <c:v>41974</c:v>
                </c:pt>
                <c:pt idx="101">
                  <c:v>42005</c:v>
                </c:pt>
                <c:pt idx="102">
                  <c:v>42036</c:v>
                </c:pt>
                <c:pt idx="103">
                  <c:v>42064</c:v>
                </c:pt>
                <c:pt idx="104">
                  <c:v>42095</c:v>
                </c:pt>
                <c:pt idx="105">
                  <c:v>42125</c:v>
                </c:pt>
                <c:pt idx="106">
                  <c:v>42156</c:v>
                </c:pt>
                <c:pt idx="107">
                  <c:v>42186</c:v>
                </c:pt>
                <c:pt idx="108">
                  <c:v>42217</c:v>
                </c:pt>
                <c:pt idx="109">
                  <c:v>42248</c:v>
                </c:pt>
                <c:pt idx="110">
                  <c:v>42278</c:v>
                </c:pt>
                <c:pt idx="111">
                  <c:v>42309</c:v>
                </c:pt>
                <c:pt idx="112">
                  <c:v>42339</c:v>
                </c:pt>
                <c:pt idx="113">
                  <c:v>42370</c:v>
                </c:pt>
                <c:pt idx="114">
                  <c:v>42401</c:v>
                </c:pt>
                <c:pt idx="115">
                  <c:v>42430</c:v>
                </c:pt>
                <c:pt idx="116">
                  <c:v>42461</c:v>
                </c:pt>
                <c:pt idx="117">
                  <c:v>42491</c:v>
                </c:pt>
                <c:pt idx="118">
                  <c:v>42522</c:v>
                </c:pt>
                <c:pt idx="119">
                  <c:v>42552</c:v>
                </c:pt>
                <c:pt idx="120">
                  <c:v>42583</c:v>
                </c:pt>
                <c:pt idx="121">
                  <c:v>42614</c:v>
                </c:pt>
                <c:pt idx="122">
                  <c:v>42644</c:v>
                </c:pt>
                <c:pt idx="123">
                  <c:v>42675</c:v>
                </c:pt>
                <c:pt idx="124">
                  <c:v>42705</c:v>
                </c:pt>
                <c:pt idx="125">
                  <c:v>42736</c:v>
                </c:pt>
                <c:pt idx="126">
                  <c:v>42767</c:v>
                </c:pt>
                <c:pt idx="127">
                  <c:v>42795</c:v>
                </c:pt>
                <c:pt idx="128">
                  <c:v>42826</c:v>
                </c:pt>
                <c:pt idx="129">
                  <c:v>42856</c:v>
                </c:pt>
                <c:pt idx="130">
                  <c:v>42887</c:v>
                </c:pt>
                <c:pt idx="131">
                  <c:v>42917</c:v>
                </c:pt>
                <c:pt idx="132">
                  <c:v>42948</c:v>
                </c:pt>
                <c:pt idx="133">
                  <c:v>42979</c:v>
                </c:pt>
                <c:pt idx="134">
                  <c:v>43009</c:v>
                </c:pt>
                <c:pt idx="135">
                  <c:v>43040</c:v>
                </c:pt>
                <c:pt idx="136">
                  <c:v>43070</c:v>
                </c:pt>
                <c:pt idx="137">
                  <c:v>43101</c:v>
                </c:pt>
                <c:pt idx="138">
                  <c:v>43132</c:v>
                </c:pt>
                <c:pt idx="139">
                  <c:v>43160</c:v>
                </c:pt>
                <c:pt idx="140">
                  <c:v>43191</c:v>
                </c:pt>
                <c:pt idx="141">
                  <c:v>43221</c:v>
                </c:pt>
                <c:pt idx="142">
                  <c:v>43252</c:v>
                </c:pt>
                <c:pt idx="143">
                  <c:v>43282</c:v>
                </c:pt>
                <c:pt idx="144">
                  <c:v>43313</c:v>
                </c:pt>
                <c:pt idx="145">
                  <c:v>43344</c:v>
                </c:pt>
                <c:pt idx="146">
                  <c:v>43374</c:v>
                </c:pt>
                <c:pt idx="147">
                  <c:v>43405</c:v>
                </c:pt>
                <c:pt idx="148">
                  <c:v>43435</c:v>
                </c:pt>
                <c:pt idx="149">
                  <c:v>43466</c:v>
                </c:pt>
                <c:pt idx="150">
                  <c:v>43497</c:v>
                </c:pt>
                <c:pt idx="151">
                  <c:v>43525</c:v>
                </c:pt>
                <c:pt idx="152">
                  <c:v>43556</c:v>
                </c:pt>
                <c:pt idx="153">
                  <c:v>43586</c:v>
                </c:pt>
                <c:pt idx="154">
                  <c:v>43617</c:v>
                </c:pt>
              </c:numCache>
            </c:numRef>
          </c:cat>
          <c:val>
            <c:numRef>
              <c:f>Monthly_Temp_LRs_FLs!$AX$3:$AX$157</c:f>
              <c:numCache>
                <c:formatCode>General</c:formatCode>
                <c:ptCount val="155"/>
                <c:pt idx="27">
                  <c:v>2.2349221457907502</c:v>
                </c:pt>
                <c:pt idx="28">
                  <c:v>2.6089223547426101</c:v>
                </c:pt>
                <c:pt idx="29">
                  <c:v>3.7495888411710299</c:v>
                </c:pt>
                <c:pt idx="30">
                  <c:v>3.95771223157552</c:v>
                </c:pt>
                <c:pt idx="31">
                  <c:v>4.75477290588071</c:v>
                </c:pt>
                <c:pt idx="32">
                  <c:v>4.20534873239479</c:v>
                </c:pt>
                <c:pt idx="33">
                  <c:v>2.4431913755846799</c:v>
                </c:pt>
                <c:pt idx="34">
                  <c:v>1.9243141318121499</c:v>
                </c:pt>
                <c:pt idx="35">
                  <c:v>1.52176781026815</c:v>
                </c:pt>
                <c:pt idx="36">
                  <c:v>1.7006351419375001</c:v>
                </c:pt>
                <c:pt idx="37">
                  <c:v>1.77736365670972</c:v>
                </c:pt>
                <c:pt idx="38">
                  <c:v>2.1373143457382402</c:v>
                </c:pt>
                <c:pt idx="39">
                  <c:v>2.61203045146181</c:v>
                </c:pt>
                <c:pt idx="40">
                  <c:v>3.9865098664057701</c:v>
                </c:pt>
                <c:pt idx="47">
                  <c:v>2.1503544122985399</c:v>
                </c:pt>
                <c:pt idx="48">
                  <c:v>2.1737782621965702</c:v>
                </c:pt>
                <c:pt idx="49">
                  <c:v>1.7475152408468799</c:v>
                </c:pt>
                <c:pt idx="50">
                  <c:v>2.28610909865289</c:v>
                </c:pt>
                <c:pt idx="51">
                  <c:v>2.6210097895371498</c:v>
                </c:pt>
                <c:pt idx="52">
                  <c:v>2.70136423298757</c:v>
                </c:pt>
                <c:pt idx="53">
                  <c:v>2.9713058371693499</c:v>
                </c:pt>
                <c:pt idx="54">
                  <c:v>2.92103896854502</c:v>
                </c:pt>
                <c:pt idx="55">
                  <c:v>2.7227200226797699</c:v>
                </c:pt>
                <c:pt idx="56">
                  <c:v>3.2697210193041699</c:v>
                </c:pt>
                <c:pt idx="57">
                  <c:v>2.2556252449848802</c:v>
                </c:pt>
                <c:pt idx="58">
                  <c:v>1.87610745314688</c:v>
                </c:pt>
                <c:pt idx="59">
                  <c:v>1.60347806546472</c:v>
                </c:pt>
                <c:pt idx="60">
                  <c:v>1.9869645618209</c:v>
                </c:pt>
                <c:pt idx="61">
                  <c:v>1.4387851903368101</c:v>
                </c:pt>
                <c:pt idx="62">
                  <c:v>1.7554092891273501</c:v>
                </c:pt>
                <c:pt idx="63">
                  <c:v>2.3383430005583299</c:v>
                </c:pt>
                <c:pt idx="64">
                  <c:v>2.9844787935927402</c:v>
                </c:pt>
                <c:pt idx="65">
                  <c:v>3.6675326563253199</c:v>
                </c:pt>
                <c:pt idx="82">
                  <c:v>1.93663694752727</c:v>
                </c:pt>
                <c:pt idx="83">
                  <c:v>1.61446386916935</c:v>
                </c:pt>
                <c:pt idx="84">
                  <c:v>1.67583929256183</c:v>
                </c:pt>
                <c:pt idx="85">
                  <c:v>1.7129166276274299</c:v>
                </c:pt>
                <c:pt idx="86">
                  <c:v>2.2586945623924701</c:v>
                </c:pt>
                <c:pt idx="87">
                  <c:v>2.3048490643454902</c:v>
                </c:pt>
                <c:pt idx="88">
                  <c:v>2.99071183862534</c:v>
                </c:pt>
                <c:pt idx="89">
                  <c:v>3.2717657025003399</c:v>
                </c:pt>
                <c:pt idx="90">
                  <c:v>3.6860815746023099</c:v>
                </c:pt>
                <c:pt idx="91">
                  <c:v>4.4000777064015502</c:v>
                </c:pt>
                <c:pt idx="92">
                  <c:v>3.1880281283874998</c:v>
                </c:pt>
                <c:pt idx="93">
                  <c:v>2.6955177376864898</c:v>
                </c:pt>
                <c:pt idx="94">
                  <c:v>2.4541385465158099</c:v>
                </c:pt>
                <c:pt idx="107">
                  <c:v>2.0601061490544201</c:v>
                </c:pt>
                <c:pt idx="108">
                  <c:v>2.1070453953753399</c:v>
                </c:pt>
                <c:pt idx="109">
                  <c:v>2.2226442873038201</c:v>
                </c:pt>
                <c:pt idx="110">
                  <c:v>2.3450430009879</c:v>
                </c:pt>
                <c:pt idx="111">
                  <c:v>2.5413242578111102</c:v>
                </c:pt>
                <c:pt idx="112">
                  <c:v>3.5979688932365601</c:v>
                </c:pt>
                <c:pt idx="113">
                  <c:v>4.1967987472937702</c:v>
                </c:pt>
                <c:pt idx="120">
                  <c:v>1.92841326195617</c:v>
                </c:pt>
                <c:pt idx="121">
                  <c:v>1.62173866351389</c:v>
                </c:pt>
                <c:pt idx="122">
                  <c:v>1.63312826245934</c:v>
                </c:pt>
                <c:pt idx="123">
                  <c:v>2.7274329256864598</c:v>
                </c:pt>
                <c:pt idx="124">
                  <c:v>2.3039138088686202</c:v>
                </c:pt>
                <c:pt idx="125">
                  <c:v>2.6967268560157902</c:v>
                </c:pt>
                <c:pt idx="126">
                  <c:v>2.7660079651938201</c:v>
                </c:pt>
                <c:pt idx="127">
                  <c:v>4.0481595320732504</c:v>
                </c:pt>
                <c:pt idx="128">
                  <c:v>3.17436497435139</c:v>
                </c:pt>
                <c:pt idx="129">
                  <c:v>2.0801810949539701</c:v>
                </c:pt>
                <c:pt idx="130">
                  <c:v>1.61994739908906</c:v>
                </c:pt>
                <c:pt idx="131">
                  <c:v>1.5404945121270199</c:v>
                </c:pt>
                <c:pt idx="132">
                  <c:v>1.61772628809543</c:v>
                </c:pt>
                <c:pt idx="133">
                  <c:v>1.2848662451111099</c:v>
                </c:pt>
                <c:pt idx="134">
                  <c:v>1.7481353897755401</c:v>
                </c:pt>
                <c:pt idx="135">
                  <c:v>1.98241484615139</c:v>
                </c:pt>
                <c:pt idx="136">
                  <c:v>2.4394875339878999</c:v>
                </c:pt>
                <c:pt idx="137">
                  <c:v>2.53570098805175</c:v>
                </c:pt>
                <c:pt idx="138">
                  <c:v>2.70026771597768</c:v>
                </c:pt>
                <c:pt idx="139">
                  <c:v>3.4000384254590101</c:v>
                </c:pt>
                <c:pt idx="140">
                  <c:v>2.9903697617277798</c:v>
                </c:pt>
                <c:pt idx="141">
                  <c:v>1.9281385330712399</c:v>
                </c:pt>
                <c:pt idx="142">
                  <c:v>1.5720530834805599</c:v>
                </c:pt>
                <c:pt idx="143">
                  <c:v>1.30399289707124</c:v>
                </c:pt>
                <c:pt idx="144">
                  <c:v>1.14371205225134</c:v>
                </c:pt>
                <c:pt idx="145">
                  <c:v>1.14837795772917</c:v>
                </c:pt>
                <c:pt idx="146">
                  <c:v>1.5530854321102101</c:v>
                </c:pt>
                <c:pt idx="147">
                  <c:v>2.6536527362472202</c:v>
                </c:pt>
                <c:pt idx="148">
                  <c:v>2.3688260324341401</c:v>
                </c:pt>
                <c:pt idx="149">
                  <c:v>2.82287001976679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A9C-4EAE-B987-9B194871FE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9938104"/>
        <c:axId val="839933184"/>
      </c:lineChart>
      <c:dateAx>
        <c:axId val="722389072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389400"/>
        <c:crosses val="autoZero"/>
        <c:auto val="0"/>
        <c:lblOffset val="100"/>
        <c:baseTimeUnit val="days"/>
      </c:dateAx>
      <c:valAx>
        <c:axId val="722389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Freezing Level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389072"/>
        <c:crosses val="autoZero"/>
        <c:crossBetween val="between"/>
      </c:valAx>
      <c:valAx>
        <c:axId val="839933184"/>
        <c:scaling>
          <c:orientation val="minMax"/>
        </c:scaling>
        <c:delete val="0"/>
        <c:axPos val="r"/>
        <c:title>
          <c:tx>
            <c:rich>
              <a:bodyPr rot="540000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Discharge (cms)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540000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938104"/>
        <c:crosses val="max"/>
        <c:crossBetween val="between"/>
      </c:valAx>
      <c:dateAx>
        <c:axId val="839938104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839933184"/>
        <c:crosses val="autoZero"/>
        <c:auto val="0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Freezing</a:t>
            </a:r>
            <a:r>
              <a:rPr lang="en-US" baseline="0"/>
              <a:t> Level and Summed Discharge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Monthly_Temp_LRs_FLs!$H$2</c:f>
              <c:strCache>
                <c:ptCount val="1"/>
                <c:pt idx="0">
                  <c:v>Elevation at Temp = 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Monthly_Temp_LRs_FLs!$A$3:$A$157</c:f>
              <c:numCache>
                <c:formatCode>mmm\-yy</c:formatCode>
                <c:ptCount val="155"/>
                <c:pt idx="0">
                  <c:v>38930</c:v>
                </c:pt>
                <c:pt idx="1">
                  <c:v>38961</c:v>
                </c:pt>
                <c:pt idx="2">
                  <c:v>38991</c:v>
                </c:pt>
                <c:pt idx="3">
                  <c:v>39022</c:v>
                </c:pt>
                <c:pt idx="4">
                  <c:v>39052</c:v>
                </c:pt>
                <c:pt idx="5">
                  <c:v>39083</c:v>
                </c:pt>
                <c:pt idx="6">
                  <c:v>39114</c:v>
                </c:pt>
                <c:pt idx="7">
                  <c:v>39142</c:v>
                </c:pt>
                <c:pt idx="8">
                  <c:v>39173</c:v>
                </c:pt>
                <c:pt idx="9">
                  <c:v>39203</c:v>
                </c:pt>
                <c:pt idx="10">
                  <c:v>39234</c:v>
                </c:pt>
                <c:pt idx="11">
                  <c:v>39264</c:v>
                </c:pt>
                <c:pt idx="12">
                  <c:v>39295</c:v>
                </c:pt>
                <c:pt idx="13">
                  <c:v>39326</c:v>
                </c:pt>
                <c:pt idx="14">
                  <c:v>39356</c:v>
                </c:pt>
                <c:pt idx="15">
                  <c:v>39387</c:v>
                </c:pt>
                <c:pt idx="16">
                  <c:v>39417</c:v>
                </c:pt>
                <c:pt idx="17">
                  <c:v>39448</c:v>
                </c:pt>
                <c:pt idx="18">
                  <c:v>39479</c:v>
                </c:pt>
                <c:pt idx="19">
                  <c:v>39508</c:v>
                </c:pt>
                <c:pt idx="20">
                  <c:v>39539</c:v>
                </c:pt>
                <c:pt idx="21">
                  <c:v>39569</c:v>
                </c:pt>
                <c:pt idx="22">
                  <c:v>39600</c:v>
                </c:pt>
                <c:pt idx="23">
                  <c:v>39630</c:v>
                </c:pt>
                <c:pt idx="24">
                  <c:v>39661</c:v>
                </c:pt>
                <c:pt idx="25">
                  <c:v>39692</c:v>
                </c:pt>
                <c:pt idx="26">
                  <c:v>39722</c:v>
                </c:pt>
                <c:pt idx="27">
                  <c:v>39753</c:v>
                </c:pt>
                <c:pt idx="28">
                  <c:v>39783</c:v>
                </c:pt>
                <c:pt idx="29">
                  <c:v>39814</c:v>
                </c:pt>
                <c:pt idx="30">
                  <c:v>39845</c:v>
                </c:pt>
                <c:pt idx="31">
                  <c:v>39873</c:v>
                </c:pt>
                <c:pt idx="32">
                  <c:v>39904</c:v>
                </c:pt>
                <c:pt idx="33">
                  <c:v>39934</c:v>
                </c:pt>
                <c:pt idx="34">
                  <c:v>39965</c:v>
                </c:pt>
                <c:pt idx="35">
                  <c:v>39995</c:v>
                </c:pt>
                <c:pt idx="36">
                  <c:v>40026</c:v>
                </c:pt>
                <c:pt idx="37">
                  <c:v>40057</c:v>
                </c:pt>
                <c:pt idx="38">
                  <c:v>40087</c:v>
                </c:pt>
                <c:pt idx="39">
                  <c:v>40118</c:v>
                </c:pt>
                <c:pt idx="40">
                  <c:v>40148</c:v>
                </c:pt>
                <c:pt idx="41">
                  <c:v>40179</c:v>
                </c:pt>
                <c:pt idx="42">
                  <c:v>40210</c:v>
                </c:pt>
                <c:pt idx="43">
                  <c:v>40238</c:v>
                </c:pt>
                <c:pt idx="44">
                  <c:v>40269</c:v>
                </c:pt>
                <c:pt idx="45">
                  <c:v>40299</c:v>
                </c:pt>
                <c:pt idx="46">
                  <c:v>40330</c:v>
                </c:pt>
                <c:pt idx="47">
                  <c:v>40360</c:v>
                </c:pt>
                <c:pt idx="48">
                  <c:v>40391</c:v>
                </c:pt>
                <c:pt idx="49">
                  <c:v>40422</c:v>
                </c:pt>
                <c:pt idx="50">
                  <c:v>40452</c:v>
                </c:pt>
                <c:pt idx="51">
                  <c:v>40483</c:v>
                </c:pt>
                <c:pt idx="52">
                  <c:v>40513</c:v>
                </c:pt>
                <c:pt idx="53">
                  <c:v>40544</c:v>
                </c:pt>
                <c:pt idx="54">
                  <c:v>40575</c:v>
                </c:pt>
                <c:pt idx="55">
                  <c:v>40603</c:v>
                </c:pt>
                <c:pt idx="56">
                  <c:v>40634</c:v>
                </c:pt>
                <c:pt idx="57">
                  <c:v>40664</c:v>
                </c:pt>
                <c:pt idx="58">
                  <c:v>40695</c:v>
                </c:pt>
                <c:pt idx="59">
                  <c:v>40725</c:v>
                </c:pt>
                <c:pt idx="60">
                  <c:v>40756</c:v>
                </c:pt>
                <c:pt idx="61">
                  <c:v>40787</c:v>
                </c:pt>
                <c:pt idx="62">
                  <c:v>40817</c:v>
                </c:pt>
                <c:pt idx="63">
                  <c:v>40848</c:v>
                </c:pt>
                <c:pt idx="64">
                  <c:v>40878</c:v>
                </c:pt>
                <c:pt idx="65">
                  <c:v>40909</c:v>
                </c:pt>
                <c:pt idx="66">
                  <c:v>40940</c:v>
                </c:pt>
                <c:pt idx="67">
                  <c:v>40969</c:v>
                </c:pt>
                <c:pt idx="68">
                  <c:v>41000</c:v>
                </c:pt>
                <c:pt idx="69">
                  <c:v>41030</c:v>
                </c:pt>
                <c:pt idx="70">
                  <c:v>41061</c:v>
                </c:pt>
                <c:pt idx="71">
                  <c:v>41091</c:v>
                </c:pt>
                <c:pt idx="72">
                  <c:v>41122</c:v>
                </c:pt>
                <c:pt idx="73">
                  <c:v>41153</c:v>
                </c:pt>
                <c:pt idx="74">
                  <c:v>41183</c:v>
                </c:pt>
                <c:pt idx="75">
                  <c:v>41214</c:v>
                </c:pt>
                <c:pt idx="76">
                  <c:v>41244</c:v>
                </c:pt>
                <c:pt idx="77">
                  <c:v>41275</c:v>
                </c:pt>
                <c:pt idx="78">
                  <c:v>41306</c:v>
                </c:pt>
                <c:pt idx="79">
                  <c:v>41334</c:v>
                </c:pt>
                <c:pt idx="80">
                  <c:v>41365</c:v>
                </c:pt>
                <c:pt idx="81">
                  <c:v>41395</c:v>
                </c:pt>
                <c:pt idx="82">
                  <c:v>41426</c:v>
                </c:pt>
                <c:pt idx="83">
                  <c:v>41456</c:v>
                </c:pt>
                <c:pt idx="84">
                  <c:v>41487</c:v>
                </c:pt>
                <c:pt idx="85">
                  <c:v>41518</c:v>
                </c:pt>
                <c:pt idx="86">
                  <c:v>41548</c:v>
                </c:pt>
                <c:pt idx="87">
                  <c:v>41579</c:v>
                </c:pt>
                <c:pt idx="88">
                  <c:v>41609</c:v>
                </c:pt>
                <c:pt idx="89">
                  <c:v>41640</c:v>
                </c:pt>
                <c:pt idx="90">
                  <c:v>41671</c:v>
                </c:pt>
                <c:pt idx="91">
                  <c:v>41699</c:v>
                </c:pt>
                <c:pt idx="92">
                  <c:v>41730</c:v>
                </c:pt>
                <c:pt idx="93">
                  <c:v>41760</c:v>
                </c:pt>
                <c:pt idx="94">
                  <c:v>41791</c:v>
                </c:pt>
                <c:pt idx="95">
                  <c:v>41821</c:v>
                </c:pt>
                <c:pt idx="96">
                  <c:v>41852</c:v>
                </c:pt>
                <c:pt idx="97">
                  <c:v>41883</c:v>
                </c:pt>
                <c:pt idx="98">
                  <c:v>41913</c:v>
                </c:pt>
                <c:pt idx="99">
                  <c:v>41944</c:v>
                </c:pt>
                <c:pt idx="100">
                  <c:v>41974</c:v>
                </c:pt>
                <c:pt idx="101">
                  <c:v>42005</c:v>
                </c:pt>
                <c:pt idx="102">
                  <c:v>42036</c:v>
                </c:pt>
                <c:pt idx="103">
                  <c:v>42064</c:v>
                </c:pt>
                <c:pt idx="104">
                  <c:v>42095</c:v>
                </c:pt>
                <c:pt idx="105">
                  <c:v>42125</c:v>
                </c:pt>
                <c:pt idx="106">
                  <c:v>42156</c:v>
                </c:pt>
                <c:pt idx="107">
                  <c:v>42186</c:v>
                </c:pt>
                <c:pt idx="108">
                  <c:v>42217</c:v>
                </c:pt>
                <c:pt idx="109">
                  <c:v>42248</c:v>
                </c:pt>
                <c:pt idx="110">
                  <c:v>42278</c:v>
                </c:pt>
                <c:pt idx="111">
                  <c:v>42309</c:v>
                </c:pt>
                <c:pt idx="112">
                  <c:v>42339</c:v>
                </c:pt>
                <c:pt idx="113">
                  <c:v>42370</c:v>
                </c:pt>
                <c:pt idx="114">
                  <c:v>42401</c:v>
                </c:pt>
                <c:pt idx="115">
                  <c:v>42430</c:v>
                </c:pt>
                <c:pt idx="116">
                  <c:v>42461</c:v>
                </c:pt>
                <c:pt idx="117">
                  <c:v>42491</c:v>
                </c:pt>
                <c:pt idx="118">
                  <c:v>42522</c:v>
                </c:pt>
                <c:pt idx="119">
                  <c:v>42552</c:v>
                </c:pt>
                <c:pt idx="120">
                  <c:v>42583</c:v>
                </c:pt>
                <c:pt idx="121">
                  <c:v>42614</c:v>
                </c:pt>
                <c:pt idx="122">
                  <c:v>42644</c:v>
                </c:pt>
                <c:pt idx="123">
                  <c:v>42675</c:v>
                </c:pt>
                <c:pt idx="124">
                  <c:v>42705</c:v>
                </c:pt>
                <c:pt idx="125">
                  <c:v>42736</c:v>
                </c:pt>
                <c:pt idx="126">
                  <c:v>42767</c:v>
                </c:pt>
                <c:pt idx="127">
                  <c:v>42795</c:v>
                </c:pt>
                <c:pt idx="128">
                  <c:v>42826</c:v>
                </c:pt>
                <c:pt idx="129">
                  <c:v>42856</c:v>
                </c:pt>
                <c:pt idx="130">
                  <c:v>42887</c:v>
                </c:pt>
                <c:pt idx="131">
                  <c:v>42917</c:v>
                </c:pt>
                <c:pt idx="132">
                  <c:v>42948</c:v>
                </c:pt>
                <c:pt idx="133">
                  <c:v>42979</c:v>
                </c:pt>
                <c:pt idx="134">
                  <c:v>43009</c:v>
                </c:pt>
                <c:pt idx="135">
                  <c:v>43040</c:v>
                </c:pt>
                <c:pt idx="136">
                  <c:v>43070</c:v>
                </c:pt>
                <c:pt idx="137">
                  <c:v>43101</c:v>
                </c:pt>
                <c:pt idx="138">
                  <c:v>43132</c:v>
                </c:pt>
                <c:pt idx="139">
                  <c:v>43160</c:v>
                </c:pt>
                <c:pt idx="140">
                  <c:v>43191</c:v>
                </c:pt>
                <c:pt idx="141">
                  <c:v>43221</c:v>
                </c:pt>
                <c:pt idx="142">
                  <c:v>43252</c:v>
                </c:pt>
                <c:pt idx="143">
                  <c:v>43282</c:v>
                </c:pt>
                <c:pt idx="144">
                  <c:v>43313</c:v>
                </c:pt>
                <c:pt idx="145">
                  <c:v>43344</c:v>
                </c:pt>
                <c:pt idx="146">
                  <c:v>43374</c:v>
                </c:pt>
                <c:pt idx="147">
                  <c:v>43405</c:v>
                </c:pt>
                <c:pt idx="148">
                  <c:v>43435</c:v>
                </c:pt>
                <c:pt idx="149">
                  <c:v>43466</c:v>
                </c:pt>
                <c:pt idx="150">
                  <c:v>43497</c:v>
                </c:pt>
                <c:pt idx="151">
                  <c:v>43525</c:v>
                </c:pt>
                <c:pt idx="152">
                  <c:v>43556</c:v>
                </c:pt>
                <c:pt idx="153">
                  <c:v>43586</c:v>
                </c:pt>
                <c:pt idx="154">
                  <c:v>43617</c:v>
                </c:pt>
              </c:numCache>
            </c:numRef>
          </c:cat>
          <c:val>
            <c:numRef>
              <c:f>Monthly_Temp_LRs_FLs!$H$3:$H$157</c:f>
              <c:numCache>
                <c:formatCode>0.0</c:formatCode>
                <c:ptCount val="155"/>
                <c:pt idx="0">
                  <c:v>4830.7273176621002</c:v>
                </c:pt>
                <c:pt idx="1">
                  <c:v>4878.041136123421</c:v>
                </c:pt>
                <c:pt idx="2">
                  <c:v>4928.5014155801582</c:v>
                </c:pt>
                <c:pt idx="3">
                  <c:v>4872.5567859074399</c:v>
                </c:pt>
                <c:pt idx="4">
                  <c:v>4925.2000173357483</c:v>
                </c:pt>
                <c:pt idx="5">
                  <c:v>5003.3883069242138</c:v>
                </c:pt>
                <c:pt idx="6">
                  <c:v>4933.026506488417</c:v>
                </c:pt>
                <c:pt idx="7">
                  <c:v>4832.0534613737445</c:v>
                </c:pt>
                <c:pt idx="8">
                  <c:v>4858.8305196445717</c:v>
                </c:pt>
                <c:pt idx="9">
                  <c:v>4950.3344268366263</c:v>
                </c:pt>
                <c:pt idx="10">
                  <c:v>4826.8605974545271</c:v>
                </c:pt>
                <c:pt idx="11">
                  <c:v>4719.2363937598411</c:v>
                </c:pt>
                <c:pt idx="12">
                  <c:v>5246.7645951035738</c:v>
                </c:pt>
                <c:pt idx="13">
                  <c:v>5047.3565406581429</c:v>
                </c:pt>
                <c:pt idx="14">
                  <c:v>5289.8777585876014</c:v>
                </c:pt>
                <c:pt idx="15">
                  <c:v>5442.7204853009735</c:v>
                </c:pt>
                <c:pt idx="16">
                  <c:v>5487.2664700098285</c:v>
                </c:pt>
                <c:pt idx="17">
                  <c:v>5291.8733594475616</c:v>
                </c:pt>
                <c:pt idx="18">
                  <c:v>5234.4716817985327</c:v>
                </c:pt>
                <c:pt idx="19">
                  <c:v>5081.9469405220379</c:v>
                </c:pt>
                <c:pt idx="20">
                  <c:v>5235.0809741624416</c:v>
                </c:pt>
                <c:pt idx="21">
                  <c:v>5353.3469479906416</c:v>
                </c:pt>
                <c:pt idx="22">
                  <c:v>5271.7140825035531</c:v>
                </c:pt>
                <c:pt idx="23">
                  <c:v>4842.6152429704271</c:v>
                </c:pt>
                <c:pt idx="24">
                  <c:v>4848.4632926241129</c:v>
                </c:pt>
                <c:pt idx="25">
                  <c:v>4820.3688663453031</c:v>
                </c:pt>
                <c:pt idx="26">
                  <c:v>4796.7807481558893</c:v>
                </c:pt>
                <c:pt idx="27">
                  <c:v>4910.0093968889805</c:v>
                </c:pt>
                <c:pt idx="28">
                  <c:v>4880.5074148309241</c:v>
                </c:pt>
                <c:pt idx="29">
                  <c:v>4793.0784916922885</c:v>
                </c:pt>
                <c:pt idx="30">
                  <c:v>4805.1553677327975</c:v>
                </c:pt>
                <c:pt idx="31">
                  <c:v>4776.4760265516725</c:v>
                </c:pt>
                <c:pt idx="32">
                  <c:v>4842.1374139549416</c:v>
                </c:pt>
                <c:pt idx="33">
                  <c:v>4880.3449133331296</c:v>
                </c:pt>
                <c:pt idx="34">
                  <c:v>4853.6301112983192</c:v>
                </c:pt>
                <c:pt idx="35">
                  <c:v>4923.4672035258936</c:v>
                </c:pt>
                <c:pt idx="36">
                  <c:v>5340.5741916021598</c:v>
                </c:pt>
                <c:pt idx="37">
                  <c:v>5344.8058726580248</c:v>
                </c:pt>
                <c:pt idx="38">
                  <c:v>5409.6176984674685</c:v>
                </c:pt>
                <c:pt idx="39">
                  <c:v>5722.7353947896845</c:v>
                </c:pt>
                <c:pt idx="40">
                  <c:v>5327.9849412530857</c:v>
                </c:pt>
                <c:pt idx="41">
                  <c:v>5121.4368727210613</c:v>
                </c:pt>
                <c:pt idx="42">
                  <c:v>5188.9071502349834</c:v>
                </c:pt>
                <c:pt idx="43">
                  <c:v>5076.8611964106885</c:v>
                </c:pt>
                <c:pt idx="44">
                  <c:v>5209.3912441355669</c:v>
                </c:pt>
                <c:pt idx="45">
                  <c:v>5224.1466287485282</c:v>
                </c:pt>
                <c:pt idx="46">
                  <c:v>5036.162147035202</c:v>
                </c:pt>
                <c:pt idx="47">
                  <c:v>5052.1383701031282</c:v>
                </c:pt>
                <c:pt idx="48">
                  <c:v>4995.8268304570211</c:v>
                </c:pt>
                <c:pt idx="49">
                  <c:v>4972.3920654257145</c:v>
                </c:pt>
                <c:pt idx="50">
                  <c:v>4983.3461474177611</c:v>
                </c:pt>
                <c:pt idx="51">
                  <c:v>4977.8671742796569</c:v>
                </c:pt>
                <c:pt idx="52">
                  <c:v>4884.6885557085661</c:v>
                </c:pt>
                <c:pt idx="53">
                  <c:v>4916.7397372236837</c:v>
                </c:pt>
                <c:pt idx="54">
                  <c:v>4882.8248451163672</c:v>
                </c:pt>
                <c:pt idx="55">
                  <c:v>4863.7367882493991</c:v>
                </c:pt>
                <c:pt idx="56">
                  <c:v>4915.1520744906875</c:v>
                </c:pt>
                <c:pt idx="57">
                  <c:v>4983.25444556394</c:v>
                </c:pt>
                <c:pt idx="58">
                  <c:v>4987.0310042489546</c:v>
                </c:pt>
                <c:pt idx="59">
                  <c:v>4837.5956204743579</c:v>
                </c:pt>
                <c:pt idx="60">
                  <c:v>4936.7926505220721</c:v>
                </c:pt>
                <c:pt idx="61">
                  <c:v>4874.5184204691941</c:v>
                </c:pt>
                <c:pt idx="62">
                  <c:v>4913.2062260009843</c:v>
                </c:pt>
                <c:pt idx="63">
                  <c:v>4963.2783700396194</c:v>
                </c:pt>
                <c:pt idx="64">
                  <c:v>4939.7423818432353</c:v>
                </c:pt>
                <c:pt idx="65">
                  <c:v>4960.1350274249926</c:v>
                </c:pt>
                <c:pt idx="66">
                  <c:v>4868.5506775874373</c:v>
                </c:pt>
                <c:pt idx="67">
                  <c:v>4866.5327489454876</c:v>
                </c:pt>
                <c:pt idx="68">
                  <c:v>4897.292388947063</c:v>
                </c:pt>
                <c:pt idx="69">
                  <c:v>4932.6044792413677</c:v>
                </c:pt>
                <c:pt idx="70">
                  <c:v>4815.4932991180267</c:v>
                </c:pt>
                <c:pt idx="71">
                  <c:v>4866.8861632093567</c:v>
                </c:pt>
                <c:pt idx="83">
                  <c:v>4851.8952956094663</c:v>
                </c:pt>
                <c:pt idx="84">
                  <c:v>4873.2728172545831</c:v>
                </c:pt>
                <c:pt idx="85">
                  <c:v>4880.6047143596879</c:v>
                </c:pt>
                <c:pt idx="86">
                  <c:v>4878.7072478178043</c:v>
                </c:pt>
                <c:pt idx="87">
                  <c:v>4856.7136372106261</c:v>
                </c:pt>
                <c:pt idx="88">
                  <c:v>4845.9232853152052</c:v>
                </c:pt>
                <c:pt idx="89">
                  <c:v>4889.7369843631996</c:v>
                </c:pt>
                <c:pt idx="90">
                  <c:v>4890.0974387219385</c:v>
                </c:pt>
                <c:pt idx="91">
                  <c:v>4859.2533105653092</c:v>
                </c:pt>
                <c:pt idx="92">
                  <c:v>5023.0314224259155</c:v>
                </c:pt>
                <c:pt idx="93">
                  <c:v>4995.6897605167032</c:v>
                </c:pt>
                <c:pt idx="94">
                  <c:v>5009.2188235655767</c:v>
                </c:pt>
                <c:pt idx="95">
                  <c:v>4874.087959399486</c:v>
                </c:pt>
                <c:pt idx="96">
                  <c:v>4835.9552889260249</c:v>
                </c:pt>
                <c:pt idx="97">
                  <c:v>4883.134745788213</c:v>
                </c:pt>
                <c:pt idx="98">
                  <c:v>4874.1830460895926</c:v>
                </c:pt>
                <c:pt idx="99">
                  <c:v>5030.3684494826311</c:v>
                </c:pt>
                <c:pt idx="100">
                  <c:v>4993.265624764208</c:v>
                </c:pt>
                <c:pt idx="101">
                  <c:v>4912.0513329955375</c:v>
                </c:pt>
                <c:pt idx="102">
                  <c:v>4962.4905862105306</c:v>
                </c:pt>
                <c:pt idx="103">
                  <c:v>4933.2446818583949</c:v>
                </c:pt>
                <c:pt idx="104">
                  <c:v>4905.5379019115971</c:v>
                </c:pt>
                <c:pt idx="105">
                  <c:v>4964.3282042942992</c:v>
                </c:pt>
                <c:pt idx="106">
                  <c:v>4937.2598942524673</c:v>
                </c:pt>
                <c:pt idx="107">
                  <c:v>4966.3782165053517</c:v>
                </c:pt>
                <c:pt idx="108">
                  <c:v>5055.1238996115317</c:v>
                </c:pt>
                <c:pt idx="109">
                  <c:v>5170.63498516459</c:v>
                </c:pt>
                <c:pt idx="110">
                  <c:v>5157.3070538948705</c:v>
                </c:pt>
                <c:pt idx="111">
                  <c:v>5247.9307226238461</c:v>
                </c:pt>
                <c:pt idx="112">
                  <c:v>5279.3458163714849</c:v>
                </c:pt>
                <c:pt idx="113">
                  <c:v>5457.7464206011682</c:v>
                </c:pt>
                <c:pt idx="114">
                  <c:v>5348.4805782798539</c:v>
                </c:pt>
                <c:pt idx="115">
                  <c:v>5343.2957800320619</c:v>
                </c:pt>
                <c:pt idx="116">
                  <c:v>5223.9103526812733</c:v>
                </c:pt>
                <c:pt idx="117">
                  <c:v>5146.5116415968196</c:v>
                </c:pt>
                <c:pt idx="118">
                  <c:v>4907.9233966087149</c:v>
                </c:pt>
                <c:pt idx="119">
                  <c:v>4912.4173940084056</c:v>
                </c:pt>
                <c:pt idx="120">
                  <c:v>5039.5704507039791</c:v>
                </c:pt>
                <c:pt idx="121">
                  <c:v>5061.201860550721</c:v>
                </c:pt>
                <c:pt idx="122">
                  <c:v>5099.854350388794</c:v>
                </c:pt>
                <c:pt idx="123">
                  <c:v>5073.2827675786775</c:v>
                </c:pt>
                <c:pt idx="124">
                  <c:v>5161.8684341367489</c:v>
                </c:pt>
                <c:pt idx="125">
                  <c:v>5063.1710057614628</c:v>
                </c:pt>
                <c:pt idx="126">
                  <c:v>5153.1756568863693</c:v>
                </c:pt>
                <c:pt idx="127">
                  <c:v>5032.2636027826229</c:v>
                </c:pt>
                <c:pt idx="128">
                  <c:v>5102.8661276268977</c:v>
                </c:pt>
                <c:pt idx="129">
                  <c:v>5120.0600384384979</c:v>
                </c:pt>
                <c:pt idx="130">
                  <c:v>4992.0840881866006</c:v>
                </c:pt>
                <c:pt idx="131">
                  <c:v>4891.8756226199821</c:v>
                </c:pt>
                <c:pt idx="132">
                  <c:v>5002.3829002366838</c:v>
                </c:pt>
                <c:pt idx="133">
                  <c:v>5038.7564337590375</c:v>
                </c:pt>
                <c:pt idx="134">
                  <c:v>5116.2233518209605</c:v>
                </c:pt>
                <c:pt idx="135">
                  <c:v>5144.1700632464908</c:v>
                </c:pt>
                <c:pt idx="136">
                  <c:v>5141.504281903166</c:v>
                </c:pt>
                <c:pt idx="137">
                  <c:v>5010.5904005255261</c:v>
                </c:pt>
                <c:pt idx="138">
                  <c:v>5206.0750713454363</c:v>
                </c:pt>
                <c:pt idx="139">
                  <c:v>5070.9885410420302</c:v>
                </c:pt>
                <c:pt idx="140">
                  <c:v>4962.6919114678885</c:v>
                </c:pt>
                <c:pt idx="141">
                  <c:v>5021.8312462935719</c:v>
                </c:pt>
                <c:pt idx="142">
                  <c:v>4819.3692321801072</c:v>
                </c:pt>
                <c:pt idx="143">
                  <c:v>4910.1402977498401</c:v>
                </c:pt>
                <c:pt idx="144">
                  <c:v>4962.7426938877006</c:v>
                </c:pt>
                <c:pt idx="145">
                  <c:v>5121.7644910125309</c:v>
                </c:pt>
                <c:pt idx="146">
                  <c:v>5130.8739926521921</c:v>
                </c:pt>
                <c:pt idx="147">
                  <c:v>5295.10153128812</c:v>
                </c:pt>
                <c:pt idx="148">
                  <c:v>5157.0583722546471</c:v>
                </c:pt>
                <c:pt idx="149">
                  <c:v>5119.2235554113768</c:v>
                </c:pt>
                <c:pt idx="150">
                  <c:v>5198.1159257875697</c:v>
                </c:pt>
                <c:pt idx="151">
                  <c:v>5156.8063481609242</c:v>
                </c:pt>
                <c:pt idx="152">
                  <c:v>5310.8314982693119</c:v>
                </c:pt>
                <c:pt idx="153">
                  <c:v>5265.5184088840151</c:v>
                </c:pt>
                <c:pt idx="154">
                  <c:v>5084.004619134982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04-4153-B548-7F700FD531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2389072"/>
        <c:axId val="722389400"/>
      </c:lineChart>
      <c:lineChart>
        <c:grouping val="standard"/>
        <c:varyColors val="0"/>
        <c:ser>
          <c:idx val="1"/>
          <c:order val="1"/>
          <c:tx>
            <c:strRef>
              <c:f>Monthly_Temp_LRs_FLs!$AW$2</c:f>
              <c:strCache>
                <c:ptCount val="1"/>
                <c:pt idx="0">
                  <c:v>Summed Discharge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Monthly_Temp_LRs_FLs!$A$3:$A$157</c:f>
              <c:numCache>
                <c:formatCode>mmm\-yy</c:formatCode>
                <c:ptCount val="155"/>
                <c:pt idx="0">
                  <c:v>38930</c:v>
                </c:pt>
                <c:pt idx="1">
                  <c:v>38961</c:v>
                </c:pt>
                <c:pt idx="2">
                  <c:v>38991</c:v>
                </c:pt>
                <c:pt idx="3">
                  <c:v>39022</c:v>
                </c:pt>
                <c:pt idx="4">
                  <c:v>39052</c:v>
                </c:pt>
                <c:pt idx="5">
                  <c:v>39083</c:v>
                </c:pt>
                <c:pt idx="6">
                  <c:v>39114</c:v>
                </c:pt>
                <c:pt idx="7">
                  <c:v>39142</c:v>
                </c:pt>
                <c:pt idx="8">
                  <c:v>39173</c:v>
                </c:pt>
                <c:pt idx="9">
                  <c:v>39203</c:v>
                </c:pt>
                <c:pt idx="10">
                  <c:v>39234</c:v>
                </c:pt>
                <c:pt idx="11">
                  <c:v>39264</c:v>
                </c:pt>
                <c:pt idx="12">
                  <c:v>39295</c:v>
                </c:pt>
                <c:pt idx="13">
                  <c:v>39326</c:v>
                </c:pt>
                <c:pt idx="14">
                  <c:v>39356</c:v>
                </c:pt>
                <c:pt idx="15">
                  <c:v>39387</c:v>
                </c:pt>
                <c:pt idx="16">
                  <c:v>39417</c:v>
                </c:pt>
                <c:pt idx="17">
                  <c:v>39448</c:v>
                </c:pt>
                <c:pt idx="18">
                  <c:v>39479</c:v>
                </c:pt>
                <c:pt idx="19">
                  <c:v>39508</c:v>
                </c:pt>
                <c:pt idx="20">
                  <c:v>39539</c:v>
                </c:pt>
                <c:pt idx="21">
                  <c:v>39569</c:v>
                </c:pt>
                <c:pt idx="22">
                  <c:v>39600</c:v>
                </c:pt>
                <c:pt idx="23">
                  <c:v>39630</c:v>
                </c:pt>
                <c:pt idx="24">
                  <c:v>39661</c:v>
                </c:pt>
                <c:pt idx="25">
                  <c:v>39692</c:v>
                </c:pt>
                <c:pt idx="26">
                  <c:v>39722</c:v>
                </c:pt>
                <c:pt idx="27">
                  <c:v>39753</c:v>
                </c:pt>
                <c:pt idx="28">
                  <c:v>39783</c:v>
                </c:pt>
                <c:pt idx="29">
                  <c:v>39814</c:v>
                </c:pt>
                <c:pt idx="30">
                  <c:v>39845</c:v>
                </c:pt>
                <c:pt idx="31">
                  <c:v>39873</c:v>
                </c:pt>
                <c:pt idx="32">
                  <c:v>39904</c:v>
                </c:pt>
                <c:pt idx="33">
                  <c:v>39934</c:v>
                </c:pt>
                <c:pt idx="34">
                  <c:v>39965</c:v>
                </c:pt>
                <c:pt idx="35">
                  <c:v>39995</c:v>
                </c:pt>
                <c:pt idx="36">
                  <c:v>40026</c:v>
                </c:pt>
                <c:pt idx="37">
                  <c:v>40057</c:v>
                </c:pt>
                <c:pt idx="38">
                  <c:v>40087</c:v>
                </c:pt>
                <c:pt idx="39">
                  <c:v>40118</c:v>
                </c:pt>
                <c:pt idx="40">
                  <c:v>40148</c:v>
                </c:pt>
                <c:pt idx="41">
                  <c:v>40179</c:v>
                </c:pt>
                <c:pt idx="42">
                  <c:v>40210</c:v>
                </c:pt>
                <c:pt idx="43">
                  <c:v>40238</c:v>
                </c:pt>
                <c:pt idx="44">
                  <c:v>40269</c:v>
                </c:pt>
                <c:pt idx="45">
                  <c:v>40299</c:v>
                </c:pt>
                <c:pt idx="46">
                  <c:v>40330</c:v>
                </c:pt>
                <c:pt idx="47">
                  <c:v>40360</c:v>
                </c:pt>
                <c:pt idx="48">
                  <c:v>40391</c:v>
                </c:pt>
                <c:pt idx="49">
                  <c:v>40422</c:v>
                </c:pt>
                <c:pt idx="50">
                  <c:v>40452</c:v>
                </c:pt>
                <c:pt idx="51">
                  <c:v>40483</c:v>
                </c:pt>
                <c:pt idx="52">
                  <c:v>40513</c:v>
                </c:pt>
                <c:pt idx="53">
                  <c:v>40544</c:v>
                </c:pt>
                <c:pt idx="54">
                  <c:v>40575</c:v>
                </c:pt>
                <c:pt idx="55">
                  <c:v>40603</c:v>
                </c:pt>
                <c:pt idx="56">
                  <c:v>40634</c:v>
                </c:pt>
                <c:pt idx="57">
                  <c:v>40664</c:v>
                </c:pt>
                <c:pt idx="58">
                  <c:v>40695</c:v>
                </c:pt>
                <c:pt idx="59">
                  <c:v>40725</c:v>
                </c:pt>
                <c:pt idx="60">
                  <c:v>40756</c:v>
                </c:pt>
                <c:pt idx="61">
                  <c:v>40787</c:v>
                </c:pt>
                <c:pt idx="62">
                  <c:v>40817</c:v>
                </c:pt>
                <c:pt idx="63">
                  <c:v>40848</c:v>
                </c:pt>
                <c:pt idx="64">
                  <c:v>40878</c:v>
                </c:pt>
                <c:pt idx="65">
                  <c:v>40909</c:v>
                </c:pt>
                <c:pt idx="66">
                  <c:v>40940</c:v>
                </c:pt>
                <c:pt idx="67">
                  <c:v>40969</c:v>
                </c:pt>
                <c:pt idx="68">
                  <c:v>41000</c:v>
                </c:pt>
                <c:pt idx="69">
                  <c:v>41030</c:v>
                </c:pt>
                <c:pt idx="70">
                  <c:v>41061</c:v>
                </c:pt>
                <c:pt idx="71">
                  <c:v>41091</c:v>
                </c:pt>
                <c:pt idx="72">
                  <c:v>41122</c:v>
                </c:pt>
                <c:pt idx="73">
                  <c:v>41153</c:v>
                </c:pt>
                <c:pt idx="74">
                  <c:v>41183</c:v>
                </c:pt>
                <c:pt idx="75">
                  <c:v>41214</c:v>
                </c:pt>
                <c:pt idx="76">
                  <c:v>41244</c:v>
                </c:pt>
                <c:pt idx="77">
                  <c:v>41275</c:v>
                </c:pt>
                <c:pt idx="78">
                  <c:v>41306</c:v>
                </c:pt>
                <c:pt idx="79">
                  <c:v>41334</c:v>
                </c:pt>
                <c:pt idx="80">
                  <c:v>41365</c:v>
                </c:pt>
                <c:pt idx="81">
                  <c:v>41395</c:v>
                </c:pt>
                <c:pt idx="82">
                  <c:v>41426</c:v>
                </c:pt>
                <c:pt idx="83">
                  <c:v>41456</c:v>
                </c:pt>
                <c:pt idx="84">
                  <c:v>41487</c:v>
                </c:pt>
                <c:pt idx="85">
                  <c:v>41518</c:v>
                </c:pt>
                <c:pt idx="86">
                  <c:v>41548</c:v>
                </c:pt>
                <c:pt idx="87">
                  <c:v>41579</c:v>
                </c:pt>
                <c:pt idx="88">
                  <c:v>41609</c:v>
                </c:pt>
                <c:pt idx="89">
                  <c:v>41640</c:v>
                </c:pt>
                <c:pt idx="90">
                  <c:v>41671</c:v>
                </c:pt>
                <c:pt idx="91">
                  <c:v>41699</c:v>
                </c:pt>
                <c:pt idx="92">
                  <c:v>41730</c:v>
                </c:pt>
                <c:pt idx="93">
                  <c:v>41760</c:v>
                </c:pt>
                <c:pt idx="94">
                  <c:v>41791</c:v>
                </c:pt>
                <c:pt idx="95">
                  <c:v>41821</c:v>
                </c:pt>
                <c:pt idx="96">
                  <c:v>41852</c:v>
                </c:pt>
                <c:pt idx="97">
                  <c:v>41883</c:v>
                </c:pt>
                <c:pt idx="98">
                  <c:v>41913</c:v>
                </c:pt>
                <c:pt idx="99">
                  <c:v>41944</c:v>
                </c:pt>
                <c:pt idx="100">
                  <c:v>41974</c:v>
                </c:pt>
                <c:pt idx="101">
                  <c:v>42005</c:v>
                </c:pt>
                <c:pt idx="102">
                  <c:v>42036</c:v>
                </c:pt>
                <c:pt idx="103">
                  <c:v>42064</c:v>
                </c:pt>
                <c:pt idx="104">
                  <c:v>42095</c:v>
                </c:pt>
                <c:pt idx="105">
                  <c:v>42125</c:v>
                </c:pt>
                <c:pt idx="106">
                  <c:v>42156</c:v>
                </c:pt>
                <c:pt idx="107">
                  <c:v>42186</c:v>
                </c:pt>
                <c:pt idx="108">
                  <c:v>42217</c:v>
                </c:pt>
                <c:pt idx="109">
                  <c:v>42248</c:v>
                </c:pt>
                <c:pt idx="110">
                  <c:v>42278</c:v>
                </c:pt>
                <c:pt idx="111">
                  <c:v>42309</c:v>
                </c:pt>
                <c:pt idx="112">
                  <c:v>42339</c:v>
                </c:pt>
                <c:pt idx="113">
                  <c:v>42370</c:v>
                </c:pt>
                <c:pt idx="114">
                  <c:v>42401</c:v>
                </c:pt>
                <c:pt idx="115">
                  <c:v>42430</c:v>
                </c:pt>
                <c:pt idx="116">
                  <c:v>42461</c:v>
                </c:pt>
                <c:pt idx="117">
                  <c:v>42491</c:v>
                </c:pt>
                <c:pt idx="118">
                  <c:v>42522</c:v>
                </c:pt>
                <c:pt idx="119">
                  <c:v>42552</c:v>
                </c:pt>
                <c:pt idx="120">
                  <c:v>42583</c:v>
                </c:pt>
                <c:pt idx="121">
                  <c:v>42614</c:v>
                </c:pt>
                <c:pt idx="122">
                  <c:v>42644</c:v>
                </c:pt>
                <c:pt idx="123">
                  <c:v>42675</c:v>
                </c:pt>
                <c:pt idx="124">
                  <c:v>42705</c:v>
                </c:pt>
                <c:pt idx="125">
                  <c:v>42736</c:v>
                </c:pt>
                <c:pt idx="126">
                  <c:v>42767</c:v>
                </c:pt>
                <c:pt idx="127">
                  <c:v>42795</c:v>
                </c:pt>
                <c:pt idx="128">
                  <c:v>42826</c:v>
                </c:pt>
                <c:pt idx="129">
                  <c:v>42856</c:v>
                </c:pt>
                <c:pt idx="130">
                  <c:v>42887</c:v>
                </c:pt>
                <c:pt idx="131">
                  <c:v>42917</c:v>
                </c:pt>
                <c:pt idx="132">
                  <c:v>42948</c:v>
                </c:pt>
                <c:pt idx="133">
                  <c:v>42979</c:v>
                </c:pt>
                <c:pt idx="134">
                  <c:v>43009</c:v>
                </c:pt>
                <c:pt idx="135">
                  <c:v>43040</c:v>
                </c:pt>
                <c:pt idx="136">
                  <c:v>43070</c:v>
                </c:pt>
                <c:pt idx="137">
                  <c:v>43101</c:v>
                </c:pt>
                <c:pt idx="138">
                  <c:v>43132</c:v>
                </c:pt>
                <c:pt idx="139">
                  <c:v>43160</c:v>
                </c:pt>
                <c:pt idx="140">
                  <c:v>43191</c:v>
                </c:pt>
                <c:pt idx="141">
                  <c:v>43221</c:v>
                </c:pt>
                <c:pt idx="142">
                  <c:v>43252</c:v>
                </c:pt>
                <c:pt idx="143">
                  <c:v>43282</c:v>
                </c:pt>
                <c:pt idx="144">
                  <c:v>43313</c:v>
                </c:pt>
                <c:pt idx="145">
                  <c:v>43344</c:v>
                </c:pt>
                <c:pt idx="146">
                  <c:v>43374</c:v>
                </c:pt>
                <c:pt idx="147">
                  <c:v>43405</c:v>
                </c:pt>
                <c:pt idx="148">
                  <c:v>43435</c:v>
                </c:pt>
                <c:pt idx="149">
                  <c:v>43466</c:v>
                </c:pt>
                <c:pt idx="150">
                  <c:v>43497</c:v>
                </c:pt>
                <c:pt idx="151">
                  <c:v>43525</c:v>
                </c:pt>
                <c:pt idx="152">
                  <c:v>43556</c:v>
                </c:pt>
                <c:pt idx="153">
                  <c:v>43586</c:v>
                </c:pt>
                <c:pt idx="154">
                  <c:v>43617</c:v>
                </c:pt>
              </c:numCache>
            </c:numRef>
          </c:cat>
          <c:val>
            <c:numRef>
              <c:f>Monthly_Temp_LRs_FLs!$AW$3:$AW$157</c:f>
              <c:numCache>
                <c:formatCode>General</c:formatCode>
                <c:ptCount val="155"/>
                <c:pt idx="27">
                  <c:v>5265.4765754829996</c:v>
                </c:pt>
                <c:pt idx="28">
                  <c:v>7764.1529277139998</c:v>
                </c:pt>
                <c:pt idx="29">
                  <c:v>11158.776391325</c:v>
                </c:pt>
                <c:pt idx="30">
                  <c:v>10638.330478475</c:v>
                </c:pt>
                <c:pt idx="31">
                  <c:v>14150.204167901</c:v>
                </c:pt>
                <c:pt idx="32">
                  <c:v>12111.404349296999</c:v>
                </c:pt>
                <c:pt idx="33">
                  <c:v>7270.9375337399997</c:v>
                </c:pt>
                <c:pt idx="34">
                  <c:v>5542.0246996189999</c:v>
                </c:pt>
                <c:pt idx="35">
                  <c:v>4528.7810033579999</c:v>
                </c:pt>
                <c:pt idx="36">
                  <c:v>5061.0901824060002</c:v>
                </c:pt>
                <c:pt idx="37">
                  <c:v>5118.8073313240002</c:v>
                </c:pt>
                <c:pt idx="38">
                  <c:v>6360.6474929169999</c:v>
                </c:pt>
                <c:pt idx="39">
                  <c:v>7522.64770021</c:v>
                </c:pt>
                <c:pt idx="40">
                  <c:v>10364.925652655</c:v>
                </c:pt>
                <c:pt idx="47">
                  <c:v>5006.0250718309999</c:v>
                </c:pt>
                <c:pt idx="48">
                  <c:v>6469.164108297</c:v>
                </c:pt>
                <c:pt idx="49">
                  <c:v>5032.8438936390003</c:v>
                </c:pt>
                <c:pt idx="50">
                  <c:v>6803.4606775909997</c:v>
                </c:pt>
                <c:pt idx="51">
                  <c:v>7548.508193867</c:v>
                </c:pt>
                <c:pt idx="52">
                  <c:v>8039.2599573710004</c:v>
                </c:pt>
                <c:pt idx="53">
                  <c:v>8842.6061714160005</c:v>
                </c:pt>
                <c:pt idx="54">
                  <c:v>7851.7527474489998</c:v>
                </c:pt>
                <c:pt idx="55">
                  <c:v>8102.814787495</c:v>
                </c:pt>
                <c:pt idx="56">
                  <c:v>9416.7965355960005</c:v>
                </c:pt>
                <c:pt idx="57">
                  <c:v>6712.7407290749998</c:v>
                </c:pt>
                <c:pt idx="58">
                  <c:v>5403.1894650630002</c:v>
                </c:pt>
                <c:pt idx="59">
                  <c:v>4771.9507228230004</c:v>
                </c:pt>
                <c:pt idx="60">
                  <c:v>5913.2065359790004</c:v>
                </c:pt>
                <c:pt idx="61">
                  <c:v>4143.7013481699996</c:v>
                </c:pt>
                <c:pt idx="62">
                  <c:v>5224.0980444429997</c:v>
                </c:pt>
                <c:pt idx="63">
                  <c:v>6734.4278416079997</c:v>
                </c:pt>
                <c:pt idx="64">
                  <c:v>8881.8088897319994</c:v>
                </c:pt>
                <c:pt idx="65">
                  <c:v>9300.8628164410002</c:v>
                </c:pt>
                <c:pt idx="83">
                  <c:v>4804.6444746480001</c:v>
                </c:pt>
                <c:pt idx="84">
                  <c:v>4987.297734664</c:v>
                </c:pt>
                <c:pt idx="85">
                  <c:v>4933.1998875669997</c:v>
                </c:pt>
                <c:pt idx="86">
                  <c:v>6721.8750176800004</c:v>
                </c:pt>
                <c:pt idx="87">
                  <c:v>6637.9653053149996</c:v>
                </c:pt>
                <c:pt idx="88">
                  <c:v>8900.3584317490004</c:v>
                </c:pt>
                <c:pt idx="89">
                  <c:v>9736.7747306410001</c:v>
                </c:pt>
                <c:pt idx="90">
                  <c:v>9908.1872725310004</c:v>
                </c:pt>
                <c:pt idx="91">
                  <c:v>13094.631254251</c:v>
                </c:pt>
                <c:pt idx="92">
                  <c:v>9181.5210097559993</c:v>
                </c:pt>
                <c:pt idx="93">
                  <c:v>8021.860787355</c:v>
                </c:pt>
                <c:pt idx="94">
                  <c:v>3183.017694831</c:v>
                </c:pt>
                <c:pt idx="108">
                  <c:v>6270.5670966369998</c:v>
                </c:pt>
                <c:pt idx="109">
                  <c:v>6401.2155474350002</c:v>
                </c:pt>
                <c:pt idx="110">
                  <c:v>6978.8479709399999</c:v>
                </c:pt>
                <c:pt idx="111">
                  <c:v>7319.013862496</c:v>
                </c:pt>
                <c:pt idx="112">
                  <c:v>10707.555426272</c:v>
                </c:pt>
                <c:pt idx="113">
                  <c:v>10785.772780544999</c:v>
                </c:pt>
                <c:pt idx="120">
                  <c:v>4311.932053734</c:v>
                </c:pt>
                <c:pt idx="121">
                  <c:v>4670.6073509199996</c:v>
                </c:pt>
                <c:pt idx="122">
                  <c:v>4860.1897090789998</c:v>
                </c:pt>
                <c:pt idx="123">
                  <c:v>7855.0068259769996</c:v>
                </c:pt>
                <c:pt idx="124">
                  <c:v>6856.4474951929997</c:v>
                </c:pt>
                <c:pt idx="125">
                  <c:v>8025.4591235030002</c:v>
                </c:pt>
                <c:pt idx="126">
                  <c:v>7435.0294104410004</c:v>
                </c:pt>
                <c:pt idx="127">
                  <c:v>12047.322767449999</c:v>
                </c:pt>
                <c:pt idx="128">
                  <c:v>9142.1711261319997</c:v>
                </c:pt>
                <c:pt idx="129">
                  <c:v>6190.6189385830003</c:v>
                </c:pt>
                <c:pt idx="130">
                  <c:v>4310.6800289760004</c:v>
                </c:pt>
                <c:pt idx="131">
                  <c:v>2292.255834045</c:v>
                </c:pt>
                <c:pt idx="132">
                  <c:v>2407.176716686</c:v>
                </c:pt>
                <c:pt idx="133">
                  <c:v>1850.2073929600001</c:v>
                </c:pt>
                <c:pt idx="134">
                  <c:v>2601.2254599859998</c:v>
                </c:pt>
                <c:pt idx="135">
                  <c:v>2854.677378458</c:v>
                </c:pt>
                <c:pt idx="136">
                  <c:v>3629.9574505740002</c:v>
                </c:pt>
                <c:pt idx="137">
                  <c:v>3773.123070221</c:v>
                </c:pt>
                <c:pt idx="138">
                  <c:v>3629.1598102739999</c:v>
                </c:pt>
                <c:pt idx="139">
                  <c:v>5059.257177083</c:v>
                </c:pt>
                <c:pt idx="140">
                  <c:v>4306.132456888</c:v>
                </c:pt>
                <c:pt idx="141">
                  <c:v>2869.0701372100002</c:v>
                </c:pt>
                <c:pt idx="142">
                  <c:v>2263.7564402120001</c:v>
                </c:pt>
                <c:pt idx="143">
                  <c:v>1940.3414308419999</c:v>
                </c:pt>
                <c:pt idx="144">
                  <c:v>1701.84353375</c:v>
                </c:pt>
                <c:pt idx="145">
                  <c:v>1653.6642591299999</c:v>
                </c:pt>
                <c:pt idx="146">
                  <c:v>2310.99112298</c:v>
                </c:pt>
                <c:pt idx="147">
                  <c:v>3821.2599401960001</c:v>
                </c:pt>
                <c:pt idx="148">
                  <c:v>3524.8131362620002</c:v>
                </c:pt>
                <c:pt idx="149">
                  <c:v>2941.4305605969998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804-4153-B548-7F700FD531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9938104"/>
        <c:axId val="839933184"/>
      </c:lineChart>
      <c:dateAx>
        <c:axId val="722389072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389400"/>
        <c:crosses val="autoZero"/>
        <c:auto val="0"/>
        <c:lblOffset val="100"/>
        <c:baseTimeUnit val="months"/>
      </c:dateAx>
      <c:valAx>
        <c:axId val="722389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Freezing Level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389072"/>
        <c:crosses val="autoZero"/>
        <c:crossBetween val="between"/>
      </c:valAx>
      <c:valAx>
        <c:axId val="839933184"/>
        <c:scaling>
          <c:orientation val="minMax"/>
        </c:scaling>
        <c:delete val="0"/>
        <c:axPos val="r"/>
        <c:title>
          <c:tx>
            <c:rich>
              <a:bodyPr rot="540000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Summed Discharge (cms)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540000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938104"/>
        <c:crosses val="max"/>
        <c:crossBetween val="between"/>
      </c:valAx>
      <c:dateAx>
        <c:axId val="839938104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839933184"/>
        <c:crosses val="autoZero"/>
        <c:auto val="0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Dew Point and Average Discharge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Monthly_Temp_LRs_FLs!#REF!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Monthly_Temp_LRs_FLs!$A$3:$A$157</c:f>
              <c:numCache>
                <c:formatCode>mmm\-yy</c:formatCode>
                <c:ptCount val="155"/>
                <c:pt idx="0">
                  <c:v>38930</c:v>
                </c:pt>
                <c:pt idx="1">
                  <c:v>38961</c:v>
                </c:pt>
                <c:pt idx="2">
                  <c:v>38991</c:v>
                </c:pt>
                <c:pt idx="3">
                  <c:v>39022</c:v>
                </c:pt>
                <c:pt idx="4">
                  <c:v>39052</c:v>
                </c:pt>
                <c:pt idx="5">
                  <c:v>39083</c:v>
                </c:pt>
                <c:pt idx="6">
                  <c:v>39114</c:v>
                </c:pt>
                <c:pt idx="7">
                  <c:v>39142</c:v>
                </c:pt>
                <c:pt idx="8">
                  <c:v>39173</c:v>
                </c:pt>
                <c:pt idx="9">
                  <c:v>39203</c:v>
                </c:pt>
                <c:pt idx="10">
                  <c:v>39234</c:v>
                </c:pt>
                <c:pt idx="11">
                  <c:v>39264</c:v>
                </c:pt>
                <c:pt idx="12">
                  <c:v>39295</c:v>
                </c:pt>
                <c:pt idx="13">
                  <c:v>39326</c:v>
                </c:pt>
                <c:pt idx="14">
                  <c:v>39356</c:v>
                </c:pt>
                <c:pt idx="15">
                  <c:v>39387</c:v>
                </c:pt>
                <c:pt idx="16">
                  <c:v>39417</c:v>
                </c:pt>
                <c:pt idx="17">
                  <c:v>39448</c:v>
                </c:pt>
                <c:pt idx="18">
                  <c:v>39479</c:v>
                </c:pt>
                <c:pt idx="19">
                  <c:v>39508</c:v>
                </c:pt>
                <c:pt idx="20">
                  <c:v>39539</c:v>
                </c:pt>
                <c:pt idx="21">
                  <c:v>39569</c:v>
                </c:pt>
                <c:pt idx="22">
                  <c:v>39600</c:v>
                </c:pt>
                <c:pt idx="23">
                  <c:v>39630</c:v>
                </c:pt>
                <c:pt idx="24">
                  <c:v>39661</c:v>
                </c:pt>
                <c:pt idx="25">
                  <c:v>39692</c:v>
                </c:pt>
                <c:pt idx="26">
                  <c:v>39722</c:v>
                </c:pt>
                <c:pt idx="27">
                  <c:v>39753</c:v>
                </c:pt>
                <c:pt idx="28">
                  <c:v>39783</c:v>
                </c:pt>
                <c:pt idx="29">
                  <c:v>39814</c:v>
                </c:pt>
                <c:pt idx="30">
                  <c:v>39845</c:v>
                </c:pt>
                <c:pt idx="31">
                  <c:v>39873</c:v>
                </c:pt>
                <c:pt idx="32">
                  <c:v>39904</c:v>
                </c:pt>
                <c:pt idx="33">
                  <c:v>39934</c:v>
                </c:pt>
                <c:pt idx="34">
                  <c:v>39965</c:v>
                </c:pt>
                <c:pt idx="35">
                  <c:v>39995</c:v>
                </c:pt>
                <c:pt idx="36">
                  <c:v>40026</c:v>
                </c:pt>
                <c:pt idx="37">
                  <c:v>40057</c:v>
                </c:pt>
                <c:pt idx="38">
                  <c:v>40087</c:v>
                </c:pt>
                <c:pt idx="39">
                  <c:v>40118</c:v>
                </c:pt>
                <c:pt idx="40">
                  <c:v>40148</c:v>
                </c:pt>
                <c:pt idx="41">
                  <c:v>40179</c:v>
                </c:pt>
                <c:pt idx="42">
                  <c:v>40210</c:v>
                </c:pt>
                <c:pt idx="43">
                  <c:v>40238</c:v>
                </c:pt>
                <c:pt idx="44">
                  <c:v>40269</c:v>
                </c:pt>
                <c:pt idx="45">
                  <c:v>40299</c:v>
                </c:pt>
                <c:pt idx="46">
                  <c:v>40330</c:v>
                </c:pt>
                <c:pt idx="47">
                  <c:v>40360</c:v>
                </c:pt>
                <c:pt idx="48">
                  <c:v>40391</c:v>
                </c:pt>
                <c:pt idx="49">
                  <c:v>40422</c:v>
                </c:pt>
                <c:pt idx="50">
                  <c:v>40452</c:v>
                </c:pt>
                <c:pt idx="51">
                  <c:v>40483</c:v>
                </c:pt>
                <c:pt idx="52">
                  <c:v>40513</c:v>
                </c:pt>
                <c:pt idx="53">
                  <c:v>40544</c:v>
                </c:pt>
                <c:pt idx="54">
                  <c:v>40575</c:v>
                </c:pt>
                <c:pt idx="55">
                  <c:v>40603</c:v>
                </c:pt>
                <c:pt idx="56">
                  <c:v>40634</c:v>
                </c:pt>
                <c:pt idx="57">
                  <c:v>40664</c:v>
                </c:pt>
                <c:pt idx="58">
                  <c:v>40695</c:v>
                </c:pt>
                <c:pt idx="59">
                  <c:v>40725</c:v>
                </c:pt>
                <c:pt idx="60">
                  <c:v>40756</c:v>
                </c:pt>
                <c:pt idx="61">
                  <c:v>40787</c:v>
                </c:pt>
                <c:pt idx="62">
                  <c:v>40817</c:v>
                </c:pt>
                <c:pt idx="63">
                  <c:v>40848</c:v>
                </c:pt>
                <c:pt idx="64">
                  <c:v>40878</c:v>
                </c:pt>
                <c:pt idx="65">
                  <c:v>40909</c:v>
                </c:pt>
                <c:pt idx="66">
                  <c:v>40940</c:v>
                </c:pt>
                <c:pt idx="67">
                  <c:v>40969</c:v>
                </c:pt>
                <c:pt idx="68">
                  <c:v>41000</c:v>
                </c:pt>
                <c:pt idx="69">
                  <c:v>41030</c:v>
                </c:pt>
                <c:pt idx="70">
                  <c:v>41061</c:v>
                </c:pt>
                <c:pt idx="71">
                  <c:v>41091</c:v>
                </c:pt>
                <c:pt idx="72">
                  <c:v>41122</c:v>
                </c:pt>
                <c:pt idx="73">
                  <c:v>41153</c:v>
                </c:pt>
                <c:pt idx="74">
                  <c:v>41183</c:v>
                </c:pt>
                <c:pt idx="75">
                  <c:v>41214</c:v>
                </c:pt>
                <c:pt idx="76">
                  <c:v>41244</c:v>
                </c:pt>
                <c:pt idx="77">
                  <c:v>41275</c:v>
                </c:pt>
                <c:pt idx="78">
                  <c:v>41306</c:v>
                </c:pt>
                <c:pt idx="79">
                  <c:v>41334</c:v>
                </c:pt>
                <c:pt idx="80">
                  <c:v>41365</c:v>
                </c:pt>
                <c:pt idx="81">
                  <c:v>41395</c:v>
                </c:pt>
                <c:pt idx="82">
                  <c:v>41426</c:v>
                </c:pt>
                <c:pt idx="83">
                  <c:v>41456</c:v>
                </c:pt>
                <c:pt idx="84">
                  <c:v>41487</c:v>
                </c:pt>
                <c:pt idx="85">
                  <c:v>41518</c:v>
                </c:pt>
                <c:pt idx="86">
                  <c:v>41548</c:v>
                </c:pt>
                <c:pt idx="87">
                  <c:v>41579</c:v>
                </c:pt>
                <c:pt idx="88">
                  <c:v>41609</c:v>
                </c:pt>
                <c:pt idx="89">
                  <c:v>41640</c:v>
                </c:pt>
                <c:pt idx="90">
                  <c:v>41671</c:v>
                </c:pt>
                <c:pt idx="91">
                  <c:v>41699</c:v>
                </c:pt>
                <c:pt idx="92">
                  <c:v>41730</c:v>
                </c:pt>
                <c:pt idx="93">
                  <c:v>41760</c:v>
                </c:pt>
                <c:pt idx="94">
                  <c:v>41791</c:v>
                </c:pt>
                <c:pt idx="95">
                  <c:v>41821</c:v>
                </c:pt>
                <c:pt idx="96">
                  <c:v>41852</c:v>
                </c:pt>
                <c:pt idx="97">
                  <c:v>41883</c:v>
                </c:pt>
                <c:pt idx="98">
                  <c:v>41913</c:v>
                </c:pt>
                <c:pt idx="99">
                  <c:v>41944</c:v>
                </c:pt>
                <c:pt idx="100">
                  <c:v>41974</c:v>
                </c:pt>
                <c:pt idx="101">
                  <c:v>42005</c:v>
                </c:pt>
                <c:pt idx="102">
                  <c:v>42036</c:v>
                </c:pt>
                <c:pt idx="103">
                  <c:v>42064</c:v>
                </c:pt>
                <c:pt idx="104">
                  <c:v>42095</c:v>
                </c:pt>
                <c:pt idx="105">
                  <c:v>42125</c:v>
                </c:pt>
                <c:pt idx="106">
                  <c:v>42156</c:v>
                </c:pt>
                <c:pt idx="107">
                  <c:v>42186</c:v>
                </c:pt>
                <c:pt idx="108">
                  <c:v>42217</c:v>
                </c:pt>
                <c:pt idx="109">
                  <c:v>42248</c:v>
                </c:pt>
                <c:pt idx="110">
                  <c:v>42278</c:v>
                </c:pt>
                <c:pt idx="111">
                  <c:v>42309</c:v>
                </c:pt>
                <c:pt idx="112">
                  <c:v>42339</c:v>
                </c:pt>
                <c:pt idx="113">
                  <c:v>42370</c:v>
                </c:pt>
                <c:pt idx="114">
                  <c:v>42401</c:v>
                </c:pt>
                <c:pt idx="115">
                  <c:v>42430</c:v>
                </c:pt>
                <c:pt idx="116">
                  <c:v>42461</c:v>
                </c:pt>
                <c:pt idx="117">
                  <c:v>42491</c:v>
                </c:pt>
                <c:pt idx="118">
                  <c:v>42522</c:v>
                </c:pt>
                <c:pt idx="119">
                  <c:v>42552</c:v>
                </c:pt>
                <c:pt idx="120">
                  <c:v>42583</c:v>
                </c:pt>
                <c:pt idx="121">
                  <c:v>42614</c:v>
                </c:pt>
                <c:pt idx="122">
                  <c:v>42644</c:v>
                </c:pt>
                <c:pt idx="123">
                  <c:v>42675</c:v>
                </c:pt>
                <c:pt idx="124">
                  <c:v>42705</c:v>
                </c:pt>
                <c:pt idx="125">
                  <c:v>42736</c:v>
                </c:pt>
                <c:pt idx="126">
                  <c:v>42767</c:v>
                </c:pt>
                <c:pt idx="127">
                  <c:v>42795</c:v>
                </c:pt>
                <c:pt idx="128">
                  <c:v>42826</c:v>
                </c:pt>
                <c:pt idx="129">
                  <c:v>42856</c:v>
                </c:pt>
                <c:pt idx="130">
                  <c:v>42887</c:v>
                </c:pt>
                <c:pt idx="131">
                  <c:v>42917</c:v>
                </c:pt>
                <c:pt idx="132">
                  <c:v>42948</c:v>
                </c:pt>
                <c:pt idx="133">
                  <c:v>42979</c:v>
                </c:pt>
                <c:pt idx="134">
                  <c:v>43009</c:v>
                </c:pt>
                <c:pt idx="135">
                  <c:v>43040</c:v>
                </c:pt>
                <c:pt idx="136">
                  <c:v>43070</c:v>
                </c:pt>
                <c:pt idx="137">
                  <c:v>43101</c:v>
                </c:pt>
                <c:pt idx="138">
                  <c:v>43132</c:v>
                </c:pt>
                <c:pt idx="139">
                  <c:v>43160</c:v>
                </c:pt>
                <c:pt idx="140">
                  <c:v>43191</c:v>
                </c:pt>
                <c:pt idx="141">
                  <c:v>43221</c:v>
                </c:pt>
                <c:pt idx="142">
                  <c:v>43252</c:v>
                </c:pt>
                <c:pt idx="143">
                  <c:v>43282</c:v>
                </c:pt>
                <c:pt idx="144">
                  <c:v>43313</c:v>
                </c:pt>
                <c:pt idx="145">
                  <c:v>43344</c:v>
                </c:pt>
                <c:pt idx="146">
                  <c:v>43374</c:v>
                </c:pt>
                <c:pt idx="147">
                  <c:v>43405</c:v>
                </c:pt>
                <c:pt idx="148">
                  <c:v>43435</c:v>
                </c:pt>
                <c:pt idx="149">
                  <c:v>43466</c:v>
                </c:pt>
                <c:pt idx="150">
                  <c:v>43497</c:v>
                </c:pt>
                <c:pt idx="151">
                  <c:v>43525</c:v>
                </c:pt>
                <c:pt idx="152">
                  <c:v>43556</c:v>
                </c:pt>
                <c:pt idx="153">
                  <c:v>43586</c:v>
                </c:pt>
                <c:pt idx="154">
                  <c:v>43617</c:v>
                </c:pt>
              </c:numCache>
            </c:numRef>
          </c:cat>
          <c:val>
            <c:numRef>
              <c:f>Monthly_Temp_LRs_FLs!#REF!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7F-4DD2-AE5E-38329B7CF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2389072"/>
        <c:axId val="722389400"/>
      </c:lineChart>
      <c:lineChart>
        <c:grouping val="standard"/>
        <c:varyColors val="0"/>
        <c:ser>
          <c:idx val="1"/>
          <c:order val="1"/>
          <c:tx>
            <c:strRef>
              <c:f>Monthly_Temp_LRs_FLs!$AX$2</c:f>
              <c:strCache>
                <c:ptCount val="1"/>
                <c:pt idx="0">
                  <c:v>Average Discharge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Monthly_Temp_LRs_FLs!$A$3:$A$157</c:f>
              <c:numCache>
                <c:formatCode>mmm\-yy</c:formatCode>
                <c:ptCount val="155"/>
                <c:pt idx="0">
                  <c:v>38930</c:v>
                </c:pt>
                <c:pt idx="1">
                  <c:v>38961</c:v>
                </c:pt>
                <c:pt idx="2">
                  <c:v>38991</c:v>
                </c:pt>
                <c:pt idx="3">
                  <c:v>39022</c:v>
                </c:pt>
                <c:pt idx="4">
                  <c:v>39052</c:v>
                </c:pt>
                <c:pt idx="5">
                  <c:v>39083</c:v>
                </c:pt>
                <c:pt idx="6">
                  <c:v>39114</c:v>
                </c:pt>
                <c:pt idx="7">
                  <c:v>39142</c:v>
                </c:pt>
                <c:pt idx="8">
                  <c:v>39173</c:v>
                </c:pt>
                <c:pt idx="9">
                  <c:v>39203</c:v>
                </c:pt>
                <c:pt idx="10">
                  <c:v>39234</c:v>
                </c:pt>
                <c:pt idx="11">
                  <c:v>39264</c:v>
                </c:pt>
                <c:pt idx="12">
                  <c:v>39295</c:v>
                </c:pt>
                <c:pt idx="13">
                  <c:v>39326</c:v>
                </c:pt>
                <c:pt idx="14">
                  <c:v>39356</c:v>
                </c:pt>
                <c:pt idx="15">
                  <c:v>39387</c:v>
                </c:pt>
                <c:pt idx="16">
                  <c:v>39417</c:v>
                </c:pt>
                <c:pt idx="17">
                  <c:v>39448</c:v>
                </c:pt>
                <c:pt idx="18">
                  <c:v>39479</c:v>
                </c:pt>
                <c:pt idx="19">
                  <c:v>39508</c:v>
                </c:pt>
                <c:pt idx="20">
                  <c:v>39539</c:v>
                </c:pt>
                <c:pt idx="21">
                  <c:v>39569</c:v>
                </c:pt>
                <c:pt idx="22">
                  <c:v>39600</c:v>
                </c:pt>
                <c:pt idx="23">
                  <c:v>39630</c:v>
                </c:pt>
                <c:pt idx="24">
                  <c:v>39661</c:v>
                </c:pt>
                <c:pt idx="25">
                  <c:v>39692</c:v>
                </c:pt>
                <c:pt idx="26">
                  <c:v>39722</c:v>
                </c:pt>
                <c:pt idx="27">
                  <c:v>39753</c:v>
                </c:pt>
                <c:pt idx="28">
                  <c:v>39783</c:v>
                </c:pt>
                <c:pt idx="29">
                  <c:v>39814</c:v>
                </c:pt>
                <c:pt idx="30">
                  <c:v>39845</c:v>
                </c:pt>
                <c:pt idx="31">
                  <c:v>39873</c:v>
                </c:pt>
                <c:pt idx="32">
                  <c:v>39904</c:v>
                </c:pt>
                <c:pt idx="33">
                  <c:v>39934</c:v>
                </c:pt>
                <c:pt idx="34">
                  <c:v>39965</c:v>
                </c:pt>
                <c:pt idx="35">
                  <c:v>39995</c:v>
                </c:pt>
                <c:pt idx="36">
                  <c:v>40026</c:v>
                </c:pt>
                <c:pt idx="37">
                  <c:v>40057</c:v>
                </c:pt>
                <c:pt idx="38">
                  <c:v>40087</c:v>
                </c:pt>
                <c:pt idx="39">
                  <c:v>40118</c:v>
                </c:pt>
                <c:pt idx="40">
                  <c:v>40148</c:v>
                </c:pt>
                <c:pt idx="41">
                  <c:v>40179</c:v>
                </c:pt>
                <c:pt idx="42">
                  <c:v>40210</c:v>
                </c:pt>
                <c:pt idx="43">
                  <c:v>40238</c:v>
                </c:pt>
                <c:pt idx="44">
                  <c:v>40269</c:v>
                </c:pt>
                <c:pt idx="45">
                  <c:v>40299</c:v>
                </c:pt>
                <c:pt idx="46">
                  <c:v>40330</c:v>
                </c:pt>
                <c:pt idx="47">
                  <c:v>40360</c:v>
                </c:pt>
                <c:pt idx="48">
                  <c:v>40391</c:v>
                </c:pt>
                <c:pt idx="49">
                  <c:v>40422</c:v>
                </c:pt>
                <c:pt idx="50">
                  <c:v>40452</c:v>
                </c:pt>
                <c:pt idx="51">
                  <c:v>40483</c:v>
                </c:pt>
                <c:pt idx="52">
                  <c:v>40513</c:v>
                </c:pt>
                <c:pt idx="53">
                  <c:v>40544</c:v>
                </c:pt>
                <c:pt idx="54">
                  <c:v>40575</c:v>
                </c:pt>
                <c:pt idx="55">
                  <c:v>40603</c:v>
                </c:pt>
                <c:pt idx="56">
                  <c:v>40634</c:v>
                </c:pt>
                <c:pt idx="57">
                  <c:v>40664</c:v>
                </c:pt>
                <c:pt idx="58">
                  <c:v>40695</c:v>
                </c:pt>
                <c:pt idx="59">
                  <c:v>40725</c:v>
                </c:pt>
                <c:pt idx="60">
                  <c:v>40756</c:v>
                </c:pt>
                <c:pt idx="61">
                  <c:v>40787</c:v>
                </c:pt>
                <c:pt idx="62">
                  <c:v>40817</c:v>
                </c:pt>
                <c:pt idx="63">
                  <c:v>40848</c:v>
                </c:pt>
                <c:pt idx="64">
                  <c:v>40878</c:v>
                </c:pt>
                <c:pt idx="65">
                  <c:v>40909</c:v>
                </c:pt>
                <c:pt idx="66">
                  <c:v>40940</c:v>
                </c:pt>
                <c:pt idx="67">
                  <c:v>40969</c:v>
                </c:pt>
                <c:pt idx="68">
                  <c:v>41000</c:v>
                </c:pt>
                <c:pt idx="69">
                  <c:v>41030</c:v>
                </c:pt>
                <c:pt idx="70">
                  <c:v>41061</c:v>
                </c:pt>
                <c:pt idx="71">
                  <c:v>41091</c:v>
                </c:pt>
                <c:pt idx="72">
                  <c:v>41122</c:v>
                </c:pt>
                <c:pt idx="73">
                  <c:v>41153</c:v>
                </c:pt>
                <c:pt idx="74">
                  <c:v>41183</c:v>
                </c:pt>
                <c:pt idx="75">
                  <c:v>41214</c:v>
                </c:pt>
                <c:pt idx="76">
                  <c:v>41244</c:v>
                </c:pt>
                <c:pt idx="77">
                  <c:v>41275</c:v>
                </c:pt>
                <c:pt idx="78">
                  <c:v>41306</c:v>
                </c:pt>
                <c:pt idx="79">
                  <c:v>41334</c:v>
                </c:pt>
                <c:pt idx="80">
                  <c:v>41365</c:v>
                </c:pt>
                <c:pt idx="81">
                  <c:v>41395</c:v>
                </c:pt>
                <c:pt idx="82">
                  <c:v>41426</c:v>
                </c:pt>
                <c:pt idx="83">
                  <c:v>41456</c:v>
                </c:pt>
                <c:pt idx="84">
                  <c:v>41487</c:v>
                </c:pt>
                <c:pt idx="85">
                  <c:v>41518</c:v>
                </c:pt>
                <c:pt idx="86">
                  <c:v>41548</c:v>
                </c:pt>
                <c:pt idx="87">
                  <c:v>41579</c:v>
                </c:pt>
                <c:pt idx="88">
                  <c:v>41609</c:v>
                </c:pt>
                <c:pt idx="89">
                  <c:v>41640</c:v>
                </c:pt>
                <c:pt idx="90">
                  <c:v>41671</c:v>
                </c:pt>
                <c:pt idx="91">
                  <c:v>41699</c:v>
                </c:pt>
                <c:pt idx="92">
                  <c:v>41730</c:v>
                </c:pt>
                <c:pt idx="93">
                  <c:v>41760</c:v>
                </c:pt>
                <c:pt idx="94">
                  <c:v>41791</c:v>
                </c:pt>
                <c:pt idx="95">
                  <c:v>41821</c:v>
                </c:pt>
                <c:pt idx="96">
                  <c:v>41852</c:v>
                </c:pt>
                <c:pt idx="97">
                  <c:v>41883</c:v>
                </c:pt>
                <c:pt idx="98">
                  <c:v>41913</c:v>
                </c:pt>
                <c:pt idx="99">
                  <c:v>41944</c:v>
                </c:pt>
                <c:pt idx="100">
                  <c:v>41974</c:v>
                </c:pt>
                <c:pt idx="101">
                  <c:v>42005</c:v>
                </c:pt>
                <c:pt idx="102">
                  <c:v>42036</c:v>
                </c:pt>
                <c:pt idx="103">
                  <c:v>42064</c:v>
                </c:pt>
                <c:pt idx="104">
                  <c:v>42095</c:v>
                </c:pt>
                <c:pt idx="105">
                  <c:v>42125</c:v>
                </c:pt>
                <c:pt idx="106">
                  <c:v>42156</c:v>
                </c:pt>
                <c:pt idx="107">
                  <c:v>42186</c:v>
                </c:pt>
                <c:pt idx="108">
                  <c:v>42217</c:v>
                </c:pt>
                <c:pt idx="109">
                  <c:v>42248</c:v>
                </c:pt>
                <c:pt idx="110">
                  <c:v>42278</c:v>
                </c:pt>
                <c:pt idx="111">
                  <c:v>42309</c:v>
                </c:pt>
                <c:pt idx="112">
                  <c:v>42339</c:v>
                </c:pt>
                <c:pt idx="113">
                  <c:v>42370</c:v>
                </c:pt>
                <c:pt idx="114">
                  <c:v>42401</c:v>
                </c:pt>
                <c:pt idx="115">
                  <c:v>42430</c:v>
                </c:pt>
                <c:pt idx="116">
                  <c:v>42461</c:v>
                </c:pt>
                <c:pt idx="117">
                  <c:v>42491</c:v>
                </c:pt>
                <c:pt idx="118">
                  <c:v>42522</c:v>
                </c:pt>
                <c:pt idx="119">
                  <c:v>42552</c:v>
                </c:pt>
                <c:pt idx="120">
                  <c:v>42583</c:v>
                </c:pt>
                <c:pt idx="121">
                  <c:v>42614</c:v>
                </c:pt>
                <c:pt idx="122">
                  <c:v>42644</c:v>
                </c:pt>
                <c:pt idx="123">
                  <c:v>42675</c:v>
                </c:pt>
                <c:pt idx="124">
                  <c:v>42705</c:v>
                </c:pt>
                <c:pt idx="125">
                  <c:v>42736</c:v>
                </c:pt>
                <c:pt idx="126">
                  <c:v>42767</c:v>
                </c:pt>
                <c:pt idx="127">
                  <c:v>42795</c:v>
                </c:pt>
                <c:pt idx="128">
                  <c:v>42826</c:v>
                </c:pt>
                <c:pt idx="129">
                  <c:v>42856</c:v>
                </c:pt>
                <c:pt idx="130">
                  <c:v>42887</c:v>
                </c:pt>
                <c:pt idx="131">
                  <c:v>42917</c:v>
                </c:pt>
                <c:pt idx="132">
                  <c:v>42948</c:v>
                </c:pt>
                <c:pt idx="133">
                  <c:v>42979</c:v>
                </c:pt>
                <c:pt idx="134">
                  <c:v>43009</c:v>
                </c:pt>
                <c:pt idx="135">
                  <c:v>43040</c:v>
                </c:pt>
                <c:pt idx="136">
                  <c:v>43070</c:v>
                </c:pt>
                <c:pt idx="137">
                  <c:v>43101</c:v>
                </c:pt>
                <c:pt idx="138">
                  <c:v>43132</c:v>
                </c:pt>
                <c:pt idx="139">
                  <c:v>43160</c:v>
                </c:pt>
                <c:pt idx="140">
                  <c:v>43191</c:v>
                </c:pt>
                <c:pt idx="141">
                  <c:v>43221</c:v>
                </c:pt>
                <c:pt idx="142">
                  <c:v>43252</c:v>
                </c:pt>
                <c:pt idx="143">
                  <c:v>43282</c:v>
                </c:pt>
                <c:pt idx="144">
                  <c:v>43313</c:v>
                </c:pt>
                <c:pt idx="145">
                  <c:v>43344</c:v>
                </c:pt>
                <c:pt idx="146">
                  <c:v>43374</c:v>
                </c:pt>
                <c:pt idx="147">
                  <c:v>43405</c:v>
                </c:pt>
                <c:pt idx="148">
                  <c:v>43435</c:v>
                </c:pt>
                <c:pt idx="149">
                  <c:v>43466</c:v>
                </c:pt>
                <c:pt idx="150">
                  <c:v>43497</c:v>
                </c:pt>
                <c:pt idx="151">
                  <c:v>43525</c:v>
                </c:pt>
                <c:pt idx="152">
                  <c:v>43556</c:v>
                </c:pt>
                <c:pt idx="153">
                  <c:v>43586</c:v>
                </c:pt>
                <c:pt idx="154">
                  <c:v>43617</c:v>
                </c:pt>
              </c:numCache>
            </c:numRef>
          </c:cat>
          <c:val>
            <c:numRef>
              <c:f>Monthly_Temp_LRs_FLs!$AX$3:$AX$157</c:f>
              <c:numCache>
                <c:formatCode>General</c:formatCode>
                <c:ptCount val="155"/>
                <c:pt idx="27">
                  <c:v>2.2349221457907502</c:v>
                </c:pt>
                <c:pt idx="28">
                  <c:v>2.6089223547426101</c:v>
                </c:pt>
                <c:pt idx="29">
                  <c:v>3.7495888411710299</c:v>
                </c:pt>
                <c:pt idx="30">
                  <c:v>3.95771223157552</c:v>
                </c:pt>
                <c:pt idx="31">
                  <c:v>4.75477290588071</c:v>
                </c:pt>
                <c:pt idx="32">
                  <c:v>4.20534873239479</c:v>
                </c:pt>
                <c:pt idx="33">
                  <c:v>2.4431913755846799</c:v>
                </c:pt>
                <c:pt idx="34">
                  <c:v>1.9243141318121499</c:v>
                </c:pt>
                <c:pt idx="35">
                  <c:v>1.52176781026815</c:v>
                </c:pt>
                <c:pt idx="36">
                  <c:v>1.7006351419375001</c:v>
                </c:pt>
                <c:pt idx="37">
                  <c:v>1.77736365670972</c:v>
                </c:pt>
                <c:pt idx="38">
                  <c:v>2.1373143457382402</c:v>
                </c:pt>
                <c:pt idx="39">
                  <c:v>2.61203045146181</c:v>
                </c:pt>
                <c:pt idx="40">
                  <c:v>3.9865098664057701</c:v>
                </c:pt>
                <c:pt idx="47">
                  <c:v>2.1503544122985399</c:v>
                </c:pt>
                <c:pt idx="48">
                  <c:v>2.1737782621965702</c:v>
                </c:pt>
                <c:pt idx="49">
                  <c:v>1.7475152408468799</c:v>
                </c:pt>
                <c:pt idx="50">
                  <c:v>2.28610909865289</c:v>
                </c:pt>
                <c:pt idx="51">
                  <c:v>2.6210097895371498</c:v>
                </c:pt>
                <c:pt idx="52">
                  <c:v>2.70136423298757</c:v>
                </c:pt>
                <c:pt idx="53">
                  <c:v>2.9713058371693499</c:v>
                </c:pt>
                <c:pt idx="54">
                  <c:v>2.92103896854502</c:v>
                </c:pt>
                <c:pt idx="55">
                  <c:v>2.7227200226797699</c:v>
                </c:pt>
                <c:pt idx="56">
                  <c:v>3.2697210193041699</c:v>
                </c:pt>
                <c:pt idx="57">
                  <c:v>2.2556252449848802</c:v>
                </c:pt>
                <c:pt idx="58">
                  <c:v>1.87610745314688</c:v>
                </c:pt>
                <c:pt idx="59">
                  <c:v>1.60347806546472</c:v>
                </c:pt>
                <c:pt idx="60">
                  <c:v>1.9869645618209</c:v>
                </c:pt>
                <c:pt idx="61">
                  <c:v>1.4387851903368101</c:v>
                </c:pt>
                <c:pt idx="62">
                  <c:v>1.7554092891273501</c:v>
                </c:pt>
                <c:pt idx="63">
                  <c:v>2.3383430005583299</c:v>
                </c:pt>
                <c:pt idx="64">
                  <c:v>2.9844787935927402</c:v>
                </c:pt>
                <c:pt idx="65">
                  <c:v>3.6675326563253199</c:v>
                </c:pt>
                <c:pt idx="82">
                  <c:v>1.93663694752727</c:v>
                </c:pt>
                <c:pt idx="83">
                  <c:v>1.61446386916935</c:v>
                </c:pt>
                <c:pt idx="84">
                  <c:v>1.67583929256183</c:v>
                </c:pt>
                <c:pt idx="85">
                  <c:v>1.7129166276274299</c:v>
                </c:pt>
                <c:pt idx="86">
                  <c:v>2.2586945623924701</c:v>
                </c:pt>
                <c:pt idx="87">
                  <c:v>2.3048490643454902</c:v>
                </c:pt>
                <c:pt idx="88">
                  <c:v>2.99071183862534</c:v>
                </c:pt>
                <c:pt idx="89">
                  <c:v>3.2717657025003399</c:v>
                </c:pt>
                <c:pt idx="90">
                  <c:v>3.6860815746023099</c:v>
                </c:pt>
                <c:pt idx="91">
                  <c:v>4.4000777064015502</c:v>
                </c:pt>
                <c:pt idx="92">
                  <c:v>3.1880281283874998</c:v>
                </c:pt>
                <c:pt idx="93">
                  <c:v>2.6955177376864898</c:v>
                </c:pt>
                <c:pt idx="94">
                  <c:v>2.4541385465158099</c:v>
                </c:pt>
                <c:pt idx="107">
                  <c:v>2.0601061490544201</c:v>
                </c:pt>
                <c:pt idx="108">
                  <c:v>2.1070453953753399</c:v>
                </c:pt>
                <c:pt idx="109">
                  <c:v>2.2226442873038201</c:v>
                </c:pt>
                <c:pt idx="110">
                  <c:v>2.3450430009879</c:v>
                </c:pt>
                <c:pt idx="111">
                  <c:v>2.5413242578111102</c:v>
                </c:pt>
                <c:pt idx="112">
                  <c:v>3.5979688932365601</c:v>
                </c:pt>
                <c:pt idx="113">
                  <c:v>4.1967987472937702</c:v>
                </c:pt>
                <c:pt idx="120">
                  <c:v>1.92841326195617</c:v>
                </c:pt>
                <c:pt idx="121">
                  <c:v>1.62173866351389</c:v>
                </c:pt>
                <c:pt idx="122">
                  <c:v>1.63312826245934</c:v>
                </c:pt>
                <c:pt idx="123">
                  <c:v>2.7274329256864598</c:v>
                </c:pt>
                <c:pt idx="124">
                  <c:v>2.3039138088686202</c:v>
                </c:pt>
                <c:pt idx="125">
                  <c:v>2.6967268560157902</c:v>
                </c:pt>
                <c:pt idx="126">
                  <c:v>2.7660079651938201</c:v>
                </c:pt>
                <c:pt idx="127">
                  <c:v>4.0481595320732504</c:v>
                </c:pt>
                <c:pt idx="128">
                  <c:v>3.17436497435139</c:v>
                </c:pt>
                <c:pt idx="129">
                  <c:v>2.0801810949539701</c:v>
                </c:pt>
                <c:pt idx="130">
                  <c:v>1.61994739908906</c:v>
                </c:pt>
                <c:pt idx="131">
                  <c:v>1.5404945121270199</c:v>
                </c:pt>
                <c:pt idx="132">
                  <c:v>1.61772628809543</c:v>
                </c:pt>
                <c:pt idx="133">
                  <c:v>1.2848662451111099</c:v>
                </c:pt>
                <c:pt idx="134">
                  <c:v>1.7481353897755401</c:v>
                </c:pt>
                <c:pt idx="135">
                  <c:v>1.98241484615139</c:v>
                </c:pt>
                <c:pt idx="136">
                  <c:v>2.4394875339878999</c:v>
                </c:pt>
                <c:pt idx="137">
                  <c:v>2.53570098805175</c:v>
                </c:pt>
                <c:pt idx="138">
                  <c:v>2.70026771597768</c:v>
                </c:pt>
                <c:pt idx="139">
                  <c:v>3.4000384254590101</c:v>
                </c:pt>
                <c:pt idx="140">
                  <c:v>2.9903697617277798</c:v>
                </c:pt>
                <c:pt idx="141">
                  <c:v>1.9281385330712399</c:v>
                </c:pt>
                <c:pt idx="142">
                  <c:v>1.5720530834805599</c:v>
                </c:pt>
                <c:pt idx="143">
                  <c:v>1.30399289707124</c:v>
                </c:pt>
                <c:pt idx="144">
                  <c:v>1.14371205225134</c:v>
                </c:pt>
                <c:pt idx="145">
                  <c:v>1.14837795772917</c:v>
                </c:pt>
                <c:pt idx="146">
                  <c:v>1.5530854321102101</c:v>
                </c:pt>
                <c:pt idx="147">
                  <c:v>2.6536527362472202</c:v>
                </c:pt>
                <c:pt idx="148">
                  <c:v>2.3688260324341401</c:v>
                </c:pt>
                <c:pt idx="149">
                  <c:v>2.82287001976679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7F-4DD2-AE5E-38329B7CF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9938104"/>
        <c:axId val="839933184"/>
      </c:lineChart>
      <c:dateAx>
        <c:axId val="722389072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389400"/>
        <c:crosses val="autoZero"/>
        <c:auto val="0"/>
        <c:lblOffset val="100"/>
        <c:baseTimeUnit val="days"/>
      </c:dateAx>
      <c:valAx>
        <c:axId val="722389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Lapse Rate (C/km)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389072"/>
        <c:crosses val="autoZero"/>
        <c:crossBetween val="between"/>
      </c:valAx>
      <c:valAx>
        <c:axId val="839933184"/>
        <c:scaling>
          <c:orientation val="minMax"/>
        </c:scaling>
        <c:delete val="0"/>
        <c:axPos val="r"/>
        <c:title>
          <c:tx>
            <c:rich>
              <a:bodyPr rot="540000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Discharge (cms)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540000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938104"/>
        <c:crosses val="max"/>
        <c:crossBetween val="between"/>
      </c:valAx>
      <c:dateAx>
        <c:axId val="839938104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839933184"/>
        <c:crosses val="autoZero"/>
        <c:auto val="0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Lapse Rate </a:t>
            </a:r>
            <a:r>
              <a:rPr lang="en-US" baseline="0"/>
              <a:t>and Average Discharge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Monthly_Temp_LRs_FLs!$I$2</c:f>
              <c:strCache>
                <c:ptCount val="1"/>
                <c:pt idx="0">
                  <c:v>Lapse 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0746230199514202"/>
                  <c:y val="-0.2032901687201895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Monthly_Temp_LRs_FLs!$A$3:$A$157</c:f>
              <c:numCache>
                <c:formatCode>mmm\-yy</c:formatCode>
                <c:ptCount val="155"/>
                <c:pt idx="0">
                  <c:v>38930</c:v>
                </c:pt>
                <c:pt idx="1">
                  <c:v>38961</c:v>
                </c:pt>
                <c:pt idx="2">
                  <c:v>38991</c:v>
                </c:pt>
                <c:pt idx="3">
                  <c:v>39022</c:v>
                </c:pt>
                <c:pt idx="4">
                  <c:v>39052</c:v>
                </c:pt>
                <c:pt idx="5">
                  <c:v>39083</c:v>
                </c:pt>
                <c:pt idx="6">
                  <c:v>39114</c:v>
                </c:pt>
                <c:pt idx="7">
                  <c:v>39142</c:v>
                </c:pt>
                <c:pt idx="8">
                  <c:v>39173</c:v>
                </c:pt>
                <c:pt idx="9">
                  <c:v>39203</c:v>
                </c:pt>
                <c:pt idx="10">
                  <c:v>39234</c:v>
                </c:pt>
                <c:pt idx="11">
                  <c:v>39264</c:v>
                </c:pt>
                <c:pt idx="12">
                  <c:v>39295</c:v>
                </c:pt>
                <c:pt idx="13">
                  <c:v>39326</c:v>
                </c:pt>
                <c:pt idx="14">
                  <c:v>39356</c:v>
                </c:pt>
                <c:pt idx="15">
                  <c:v>39387</c:v>
                </c:pt>
                <c:pt idx="16">
                  <c:v>39417</c:v>
                </c:pt>
                <c:pt idx="17">
                  <c:v>39448</c:v>
                </c:pt>
                <c:pt idx="18">
                  <c:v>39479</c:v>
                </c:pt>
                <c:pt idx="19">
                  <c:v>39508</c:v>
                </c:pt>
                <c:pt idx="20">
                  <c:v>39539</c:v>
                </c:pt>
                <c:pt idx="21">
                  <c:v>39569</c:v>
                </c:pt>
                <c:pt idx="22">
                  <c:v>39600</c:v>
                </c:pt>
                <c:pt idx="23">
                  <c:v>39630</c:v>
                </c:pt>
                <c:pt idx="24">
                  <c:v>39661</c:v>
                </c:pt>
                <c:pt idx="25">
                  <c:v>39692</c:v>
                </c:pt>
                <c:pt idx="26">
                  <c:v>39722</c:v>
                </c:pt>
                <c:pt idx="27">
                  <c:v>39753</c:v>
                </c:pt>
                <c:pt idx="28">
                  <c:v>39783</c:v>
                </c:pt>
                <c:pt idx="29">
                  <c:v>39814</c:v>
                </c:pt>
                <c:pt idx="30">
                  <c:v>39845</c:v>
                </c:pt>
                <c:pt idx="31">
                  <c:v>39873</c:v>
                </c:pt>
                <c:pt idx="32">
                  <c:v>39904</c:v>
                </c:pt>
                <c:pt idx="33">
                  <c:v>39934</c:v>
                </c:pt>
                <c:pt idx="34">
                  <c:v>39965</c:v>
                </c:pt>
                <c:pt idx="35">
                  <c:v>39995</c:v>
                </c:pt>
                <c:pt idx="36">
                  <c:v>40026</c:v>
                </c:pt>
                <c:pt idx="37">
                  <c:v>40057</c:v>
                </c:pt>
                <c:pt idx="38">
                  <c:v>40087</c:v>
                </c:pt>
                <c:pt idx="39">
                  <c:v>40118</c:v>
                </c:pt>
                <c:pt idx="40">
                  <c:v>40148</c:v>
                </c:pt>
                <c:pt idx="41">
                  <c:v>40179</c:v>
                </c:pt>
                <c:pt idx="42">
                  <c:v>40210</c:v>
                </c:pt>
                <c:pt idx="43">
                  <c:v>40238</c:v>
                </c:pt>
                <c:pt idx="44">
                  <c:v>40269</c:v>
                </c:pt>
                <c:pt idx="45">
                  <c:v>40299</c:v>
                </c:pt>
                <c:pt idx="46">
                  <c:v>40330</c:v>
                </c:pt>
                <c:pt idx="47">
                  <c:v>40360</c:v>
                </c:pt>
                <c:pt idx="48">
                  <c:v>40391</c:v>
                </c:pt>
                <c:pt idx="49">
                  <c:v>40422</c:v>
                </c:pt>
                <c:pt idx="50">
                  <c:v>40452</c:v>
                </c:pt>
                <c:pt idx="51">
                  <c:v>40483</c:v>
                </c:pt>
                <c:pt idx="52">
                  <c:v>40513</c:v>
                </c:pt>
                <c:pt idx="53">
                  <c:v>40544</c:v>
                </c:pt>
                <c:pt idx="54">
                  <c:v>40575</c:v>
                </c:pt>
                <c:pt idx="55">
                  <c:v>40603</c:v>
                </c:pt>
                <c:pt idx="56">
                  <c:v>40634</c:v>
                </c:pt>
                <c:pt idx="57">
                  <c:v>40664</c:v>
                </c:pt>
                <c:pt idx="58">
                  <c:v>40695</c:v>
                </c:pt>
                <c:pt idx="59">
                  <c:v>40725</c:v>
                </c:pt>
                <c:pt idx="60">
                  <c:v>40756</c:v>
                </c:pt>
                <c:pt idx="61">
                  <c:v>40787</c:v>
                </c:pt>
                <c:pt idx="62">
                  <c:v>40817</c:v>
                </c:pt>
                <c:pt idx="63">
                  <c:v>40848</c:v>
                </c:pt>
                <c:pt idx="64">
                  <c:v>40878</c:v>
                </c:pt>
                <c:pt idx="65">
                  <c:v>40909</c:v>
                </c:pt>
                <c:pt idx="66">
                  <c:v>40940</c:v>
                </c:pt>
                <c:pt idx="67">
                  <c:v>40969</c:v>
                </c:pt>
                <c:pt idx="68">
                  <c:v>41000</c:v>
                </c:pt>
                <c:pt idx="69">
                  <c:v>41030</c:v>
                </c:pt>
                <c:pt idx="70">
                  <c:v>41061</c:v>
                </c:pt>
                <c:pt idx="71">
                  <c:v>41091</c:v>
                </c:pt>
                <c:pt idx="72">
                  <c:v>41122</c:v>
                </c:pt>
                <c:pt idx="73">
                  <c:v>41153</c:v>
                </c:pt>
                <c:pt idx="74">
                  <c:v>41183</c:v>
                </c:pt>
                <c:pt idx="75">
                  <c:v>41214</c:v>
                </c:pt>
                <c:pt idx="76">
                  <c:v>41244</c:v>
                </c:pt>
                <c:pt idx="77">
                  <c:v>41275</c:v>
                </c:pt>
                <c:pt idx="78">
                  <c:v>41306</c:v>
                </c:pt>
                <c:pt idx="79">
                  <c:v>41334</c:v>
                </c:pt>
                <c:pt idx="80">
                  <c:v>41365</c:v>
                </c:pt>
                <c:pt idx="81">
                  <c:v>41395</c:v>
                </c:pt>
                <c:pt idx="82">
                  <c:v>41426</c:v>
                </c:pt>
                <c:pt idx="83">
                  <c:v>41456</c:v>
                </c:pt>
                <c:pt idx="84">
                  <c:v>41487</c:v>
                </c:pt>
                <c:pt idx="85">
                  <c:v>41518</c:v>
                </c:pt>
                <c:pt idx="86">
                  <c:v>41548</c:v>
                </c:pt>
                <c:pt idx="87">
                  <c:v>41579</c:v>
                </c:pt>
                <c:pt idx="88">
                  <c:v>41609</c:v>
                </c:pt>
                <c:pt idx="89">
                  <c:v>41640</c:v>
                </c:pt>
                <c:pt idx="90">
                  <c:v>41671</c:v>
                </c:pt>
                <c:pt idx="91">
                  <c:v>41699</c:v>
                </c:pt>
                <c:pt idx="92">
                  <c:v>41730</c:v>
                </c:pt>
                <c:pt idx="93">
                  <c:v>41760</c:v>
                </c:pt>
                <c:pt idx="94">
                  <c:v>41791</c:v>
                </c:pt>
                <c:pt idx="95">
                  <c:v>41821</c:v>
                </c:pt>
                <c:pt idx="96">
                  <c:v>41852</c:v>
                </c:pt>
                <c:pt idx="97">
                  <c:v>41883</c:v>
                </c:pt>
                <c:pt idx="98">
                  <c:v>41913</c:v>
                </c:pt>
                <c:pt idx="99">
                  <c:v>41944</c:v>
                </c:pt>
                <c:pt idx="100">
                  <c:v>41974</c:v>
                </c:pt>
                <c:pt idx="101">
                  <c:v>42005</c:v>
                </c:pt>
                <c:pt idx="102">
                  <c:v>42036</c:v>
                </c:pt>
                <c:pt idx="103">
                  <c:v>42064</c:v>
                </c:pt>
                <c:pt idx="104">
                  <c:v>42095</c:v>
                </c:pt>
                <c:pt idx="105">
                  <c:v>42125</c:v>
                </c:pt>
                <c:pt idx="106">
                  <c:v>42156</c:v>
                </c:pt>
                <c:pt idx="107">
                  <c:v>42186</c:v>
                </c:pt>
                <c:pt idx="108">
                  <c:v>42217</c:v>
                </c:pt>
                <c:pt idx="109">
                  <c:v>42248</c:v>
                </c:pt>
                <c:pt idx="110">
                  <c:v>42278</c:v>
                </c:pt>
                <c:pt idx="111">
                  <c:v>42309</c:v>
                </c:pt>
                <c:pt idx="112">
                  <c:v>42339</c:v>
                </c:pt>
                <c:pt idx="113">
                  <c:v>42370</c:v>
                </c:pt>
                <c:pt idx="114">
                  <c:v>42401</c:v>
                </c:pt>
                <c:pt idx="115">
                  <c:v>42430</c:v>
                </c:pt>
                <c:pt idx="116">
                  <c:v>42461</c:v>
                </c:pt>
                <c:pt idx="117">
                  <c:v>42491</c:v>
                </c:pt>
                <c:pt idx="118">
                  <c:v>42522</c:v>
                </c:pt>
                <c:pt idx="119">
                  <c:v>42552</c:v>
                </c:pt>
                <c:pt idx="120">
                  <c:v>42583</c:v>
                </c:pt>
                <c:pt idx="121">
                  <c:v>42614</c:v>
                </c:pt>
                <c:pt idx="122">
                  <c:v>42644</c:v>
                </c:pt>
                <c:pt idx="123">
                  <c:v>42675</c:v>
                </c:pt>
                <c:pt idx="124">
                  <c:v>42705</c:v>
                </c:pt>
                <c:pt idx="125">
                  <c:v>42736</c:v>
                </c:pt>
                <c:pt idx="126">
                  <c:v>42767</c:v>
                </c:pt>
                <c:pt idx="127">
                  <c:v>42795</c:v>
                </c:pt>
                <c:pt idx="128">
                  <c:v>42826</c:v>
                </c:pt>
                <c:pt idx="129">
                  <c:v>42856</c:v>
                </c:pt>
                <c:pt idx="130">
                  <c:v>42887</c:v>
                </c:pt>
                <c:pt idx="131">
                  <c:v>42917</c:v>
                </c:pt>
                <c:pt idx="132">
                  <c:v>42948</c:v>
                </c:pt>
                <c:pt idx="133">
                  <c:v>42979</c:v>
                </c:pt>
                <c:pt idx="134">
                  <c:v>43009</c:v>
                </c:pt>
                <c:pt idx="135">
                  <c:v>43040</c:v>
                </c:pt>
                <c:pt idx="136">
                  <c:v>43070</c:v>
                </c:pt>
                <c:pt idx="137">
                  <c:v>43101</c:v>
                </c:pt>
                <c:pt idx="138">
                  <c:v>43132</c:v>
                </c:pt>
                <c:pt idx="139">
                  <c:v>43160</c:v>
                </c:pt>
                <c:pt idx="140">
                  <c:v>43191</c:v>
                </c:pt>
                <c:pt idx="141">
                  <c:v>43221</c:v>
                </c:pt>
                <c:pt idx="142">
                  <c:v>43252</c:v>
                </c:pt>
                <c:pt idx="143">
                  <c:v>43282</c:v>
                </c:pt>
                <c:pt idx="144">
                  <c:v>43313</c:v>
                </c:pt>
                <c:pt idx="145">
                  <c:v>43344</c:v>
                </c:pt>
                <c:pt idx="146">
                  <c:v>43374</c:v>
                </c:pt>
                <c:pt idx="147">
                  <c:v>43405</c:v>
                </c:pt>
                <c:pt idx="148">
                  <c:v>43435</c:v>
                </c:pt>
                <c:pt idx="149">
                  <c:v>43466</c:v>
                </c:pt>
                <c:pt idx="150">
                  <c:v>43497</c:v>
                </c:pt>
                <c:pt idx="151">
                  <c:v>43525</c:v>
                </c:pt>
                <c:pt idx="152">
                  <c:v>43556</c:v>
                </c:pt>
                <c:pt idx="153">
                  <c:v>43586</c:v>
                </c:pt>
                <c:pt idx="154">
                  <c:v>43617</c:v>
                </c:pt>
              </c:numCache>
            </c:numRef>
          </c:cat>
          <c:val>
            <c:numRef>
              <c:f>Monthly_Temp_LRs_FLs!$I$3:$I$157</c:f>
              <c:numCache>
                <c:formatCode>0.0</c:formatCode>
                <c:ptCount val="155"/>
                <c:pt idx="0">
                  <c:v>9.1194925788278294</c:v>
                </c:pt>
                <c:pt idx="1">
                  <c:v>8.5683930695818002</c:v>
                </c:pt>
                <c:pt idx="2">
                  <c:v>7.774304564869019</c:v>
                </c:pt>
                <c:pt idx="3">
                  <c:v>8.0459252098791225</c:v>
                </c:pt>
                <c:pt idx="4">
                  <c:v>7.6203001618026258</c:v>
                </c:pt>
                <c:pt idx="5">
                  <c:v>8.1491888620460742</c:v>
                </c:pt>
                <c:pt idx="6">
                  <c:v>8.1429589608670447</c:v>
                </c:pt>
                <c:pt idx="7">
                  <c:v>8.1364514637575489</c:v>
                </c:pt>
                <c:pt idx="8">
                  <c:v>8.3222799106120231</c:v>
                </c:pt>
                <c:pt idx="9">
                  <c:v>7.9087182747482023</c:v>
                </c:pt>
                <c:pt idx="10">
                  <c:v>9.6878143700565023</c:v>
                </c:pt>
                <c:pt idx="11">
                  <c:v>9.9102003570404804</c:v>
                </c:pt>
                <c:pt idx="12">
                  <c:v>6.4882697947214378</c:v>
                </c:pt>
                <c:pt idx="13">
                  <c:v>7.5971074380165531</c:v>
                </c:pt>
                <c:pt idx="14">
                  <c:v>5.7884564116235815</c:v>
                </c:pt>
                <c:pt idx="15">
                  <c:v>5.4116161616161937</c:v>
                </c:pt>
                <c:pt idx="16">
                  <c:v>4.9706744868035377</c:v>
                </c:pt>
                <c:pt idx="17">
                  <c:v>5.5014218430640769</c:v>
                </c:pt>
                <c:pt idx="18">
                  <c:v>5.4930179538329877</c:v>
                </c:pt>
                <c:pt idx="19">
                  <c:v>5.7111436950146564</c:v>
                </c:pt>
                <c:pt idx="20">
                  <c:v>5.5709366391184636</c:v>
                </c:pt>
                <c:pt idx="21">
                  <c:v>5.412112325602056</c:v>
                </c:pt>
                <c:pt idx="22">
                  <c:v>5.8099173553719181</c:v>
                </c:pt>
                <c:pt idx="23">
                  <c:v>7.9418154121617022</c:v>
                </c:pt>
                <c:pt idx="24">
                  <c:v>8.8556560484139109</c:v>
                </c:pt>
                <c:pt idx="25">
                  <c:v>8.954420366271135</c:v>
                </c:pt>
                <c:pt idx="26">
                  <c:v>8.2167053730342765</c:v>
                </c:pt>
                <c:pt idx="27">
                  <c:v>8.175735962403845</c:v>
                </c:pt>
                <c:pt idx="28">
                  <c:v>7.8843486629549728</c:v>
                </c:pt>
                <c:pt idx="29">
                  <c:v>8.1968797243297544</c:v>
                </c:pt>
                <c:pt idx="30">
                  <c:v>8.192763829945088</c:v>
                </c:pt>
                <c:pt idx="31">
                  <c:v>8.3435692215218697</c:v>
                </c:pt>
                <c:pt idx="32">
                  <c:v>8.2652143231879762</c:v>
                </c:pt>
                <c:pt idx="33">
                  <c:v>8.0864895776286012</c:v>
                </c:pt>
                <c:pt idx="34">
                  <c:v>8.4079561420453715</c:v>
                </c:pt>
                <c:pt idx="35">
                  <c:v>7.1054954125690317</c:v>
                </c:pt>
                <c:pt idx="36">
                  <c:v>5.6506566512274299</c:v>
                </c:pt>
                <c:pt idx="37">
                  <c:v>6.3953944670362519</c:v>
                </c:pt>
                <c:pt idx="38">
                  <c:v>5.2914979072975319</c:v>
                </c:pt>
                <c:pt idx="39">
                  <c:v>4.4063378372789961</c:v>
                </c:pt>
                <c:pt idx="40">
                  <c:v>5.0757114204642315</c:v>
                </c:pt>
                <c:pt idx="41">
                  <c:v>7.3595825381876976</c:v>
                </c:pt>
                <c:pt idx="42">
                  <c:v>7.0607714972003546</c:v>
                </c:pt>
                <c:pt idx="43">
                  <c:v>7.4398460244555737</c:v>
                </c:pt>
                <c:pt idx="44">
                  <c:v>6.9931180337178738</c:v>
                </c:pt>
                <c:pt idx="45">
                  <c:v>6.4293393755719848</c:v>
                </c:pt>
                <c:pt idx="46">
                  <c:v>7.4562989335300873</c:v>
                </c:pt>
                <c:pt idx="47">
                  <c:v>7.0890069983033133</c:v>
                </c:pt>
                <c:pt idx="48">
                  <c:v>8.0689477220909183</c:v>
                </c:pt>
                <c:pt idx="49">
                  <c:v>8.0783181907907586</c:v>
                </c:pt>
                <c:pt idx="50">
                  <c:v>7.1806958350661301</c:v>
                </c:pt>
                <c:pt idx="51">
                  <c:v>6.3966798563543232</c:v>
                </c:pt>
                <c:pt idx="52">
                  <c:v>6.6718600774515675</c:v>
                </c:pt>
                <c:pt idx="53">
                  <c:v>7.2205259029774673</c:v>
                </c:pt>
                <c:pt idx="54">
                  <c:v>6.9381028497054205</c:v>
                </c:pt>
                <c:pt idx="55">
                  <c:v>6.9822407850701582</c:v>
                </c:pt>
                <c:pt idx="56">
                  <c:v>7.4293798841165319</c:v>
                </c:pt>
                <c:pt idx="57">
                  <c:v>7.7174408604193667</c:v>
                </c:pt>
                <c:pt idx="58">
                  <c:v>7.4815507990343484</c:v>
                </c:pt>
                <c:pt idx="59">
                  <c:v>8.1838511855089244</c:v>
                </c:pt>
                <c:pt idx="60">
                  <c:v>8.5139119715658875</c:v>
                </c:pt>
                <c:pt idx="61">
                  <c:v>8.0753005021476127</c:v>
                </c:pt>
                <c:pt idx="62">
                  <c:v>7.6541214164860651</c:v>
                </c:pt>
                <c:pt idx="63">
                  <c:v>7.4603724730804126</c:v>
                </c:pt>
                <c:pt idx="64">
                  <c:v>7.1278830237002007</c:v>
                </c:pt>
                <c:pt idx="65">
                  <c:v>7.049813961387291</c:v>
                </c:pt>
                <c:pt idx="66">
                  <c:v>7.231992775783624</c:v>
                </c:pt>
                <c:pt idx="67">
                  <c:v>8.1657410951603495</c:v>
                </c:pt>
                <c:pt idx="68">
                  <c:v>7.3955862576016225</c:v>
                </c:pt>
                <c:pt idx="69">
                  <c:v>8.029957875540406</c:v>
                </c:pt>
                <c:pt idx="70">
                  <c:v>8.4856711909564897</c:v>
                </c:pt>
                <c:pt idx="71">
                  <c:v>6.6989405993149216</c:v>
                </c:pt>
                <c:pt idx="83">
                  <c:v>7.7949041098793845</c:v>
                </c:pt>
                <c:pt idx="84">
                  <c:v>8.5093400447051621</c:v>
                </c:pt>
                <c:pt idx="85">
                  <c:v>9.9059938953244</c:v>
                </c:pt>
                <c:pt idx="86">
                  <c:v>8.8485739267741863</c:v>
                </c:pt>
                <c:pt idx="87">
                  <c:v>8.9736991318805792</c:v>
                </c:pt>
                <c:pt idx="88">
                  <c:v>10.028341772923714</c:v>
                </c:pt>
                <c:pt idx="89">
                  <c:v>8.7570083639150482</c:v>
                </c:pt>
                <c:pt idx="90">
                  <c:v>8.4304149732339209</c:v>
                </c:pt>
                <c:pt idx="91">
                  <c:v>8.2934172090624987</c:v>
                </c:pt>
                <c:pt idx="92">
                  <c:v>6.9851454950254928</c:v>
                </c:pt>
                <c:pt idx="93">
                  <c:v>7.3931920751534781</c:v>
                </c:pt>
                <c:pt idx="94">
                  <c:v>7.9643020781696698</c:v>
                </c:pt>
                <c:pt idx="95">
                  <c:v>8.8558977940946733</c:v>
                </c:pt>
                <c:pt idx="96">
                  <c:v>9.1425710764897374</c:v>
                </c:pt>
                <c:pt idx="97">
                  <c:v>8.5935106944811128</c:v>
                </c:pt>
                <c:pt idx="98">
                  <c:v>8.4786770530763089</c:v>
                </c:pt>
                <c:pt idx="99">
                  <c:v>7.2411026024704324</c:v>
                </c:pt>
                <c:pt idx="100">
                  <c:v>7.2842683373510377</c:v>
                </c:pt>
                <c:pt idx="101">
                  <c:v>7.9231865663801688</c:v>
                </c:pt>
                <c:pt idx="102">
                  <c:v>7.9310603631471013</c:v>
                </c:pt>
                <c:pt idx="103">
                  <c:v>7.86595199763764</c:v>
                </c:pt>
                <c:pt idx="104">
                  <c:v>8.1108837250242001</c:v>
                </c:pt>
                <c:pt idx="105">
                  <c:v>7.545603805889411</c:v>
                </c:pt>
                <c:pt idx="106">
                  <c:v>8.5577193908986828</c:v>
                </c:pt>
                <c:pt idx="107">
                  <c:v>8.1023071794599684</c:v>
                </c:pt>
                <c:pt idx="108">
                  <c:v>7.1782295427063882</c:v>
                </c:pt>
                <c:pt idx="109">
                  <c:v>6.873288104892544</c:v>
                </c:pt>
                <c:pt idx="110">
                  <c:v>6.2994487658904035</c:v>
                </c:pt>
                <c:pt idx="111">
                  <c:v>5.7416290909991829</c:v>
                </c:pt>
                <c:pt idx="112">
                  <c:v>5.5102098989306452</c:v>
                </c:pt>
                <c:pt idx="113">
                  <c:v>5.4979904810085056</c:v>
                </c:pt>
                <c:pt idx="114">
                  <c:v>5.8249866655503597</c:v>
                </c:pt>
                <c:pt idx="115">
                  <c:v>5.9704002707685788</c:v>
                </c:pt>
                <c:pt idx="116">
                  <c:v>6.2035930183583963</c:v>
                </c:pt>
                <c:pt idx="117">
                  <c:v>6.5248145259192158</c:v>
                </c:pt>
                <c:pt idx="118">
                  <c:v>7.3444343279185844</c:v>
                </c:pt>
                <c:pt idx="119">
                  <c:v>7.4890729532716396</c:v>
                </c:pt>
                <c:pt idx="120">
                  <c:v>7.4547012480486687</c:v>
                </c:pt>
                <c:pt idx="121">
                  <c:v>6.7029502404567411</c:v>
                </c:pt>
                <c:pt idx="122">
                  <c:v>6.0590397518860426</c:v>
                </c:pt>
                <c:pt idx="123">
                  <c:v>5.6694318504020451</c:v>
                </c:pt>
                <c:pt idx="124">
                  <c:v>5.6184447376616324</c:v>
                </c:pt>
                <c:pt idx="125">
                  <c:v>5.7435493328154523</c:v>
                </c:pt>
                <c:pt idx="126">
                  <c:v>5.2473191943824062</c:v>
                </c:pt>
                <c:pt idx="127">
                  <c:v>6.0509944831301095</c:v>
                </c:pt>
                <c:pt idx="128">
                  <c:v>6.0957711545502331</c:v>
                </c:pt>
                <c:pt idx="129">
                  <c:v>6.0928575196223305</c:v>
                </c:pt>
                <c:pt idx="130">
                  <c:v>6.1570782855534336</c:v>
                </c:pt>
                <c:pt idx="131">
                  <c:v>7.2556968894380267</c:v>
                </c:pt>
                <c:pt idx="132">
                  <c:v>6.3048183833858271</c:v>
                </c:pt>
                <c:pt idx="133">
                  <c:v>6.8681558605653672</c:v>
                </c:pt>
                <c:pt idx="134">
                  <c:v>6.2804711224135596</c:v>
                </c:pt>
                <c:pt idx="135">
                  <c:v>5.4515514759116552</c:v>
                </c:pt>
                <c:pt idx="136">
                  <c:v>5.4906661562449788</c:v>
                </c:pt>
                <c:pt idx="137">
                  <c:v>5.7660534413637103</c:v>
                </c:pt>
                <c:pt idx="138">
                  <c:v>5.3867071504666573</c:v>
                </c:pt>
                <c:pt idx="139">
                  <c:v>6.0227144976542162</c:v>
                </c:pt>
                <c:pt idx="140">
                  <c:v>6.2123228231576215</c:v>
                </c:pt>
                <c:pt idx="141">
                  <c:v>6.3920542714649482</c:v>
                </c:pt>
                <c:pt idx="142">
                  <c:v>7.4121944052170976</c:v>
                </c:pt>
                <c:pt idx="143">
                  <c:v>7.0672611962170242</c:v>
                </c:pt>
                <c:pt idx="144">
                  <c:v>6.8862933795562338</c:v>
                </c:pt>
                <c:pt idx="145">
                  <c:v>6.4208306019754477</c:v>
                </c:pt>
                <c:pt idx="146">
                  <c:v>5.6247124987243415</c:v>
                </c:pt>
                <c:pt idx="147">
                  <c:v>5.3631749356877432</c:v>
                </c:pt>
                <c:pt idx="148">
                  <c:v>5.7643686535833218</c:v>
                </c:pt>
                <c:pt idx="149">
                  <c:v>5.8192946134813175</c:v>
                </c:pt>
                <c:pt idx="150">
                  <c:v>5.9572322228751808</c:v>
                </c:pt>
                <c:pt idx="151">
                  <c:v>6.0324560911553853</c:v>
                </c:pt>
                <c:pt idx="152">
                  <c:v>5.6935643402358842</c:v>
                </c:pt>
                <c:pt idx="153">
                  <c:v>5.6840553669611902</c:v>
                </c:pt>
                <c:pt idx="154">
                  <c:v>6.6865422434186188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C6-4412-AA6E-7F8FD128BA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2389072"/>
        <c:axId val="722389400"/>
      </c:lineChart>
      <c:lineChart>
        <c:grouping val="standard"/>
        <c:varyColors val="0"/>
        <c:ser>
          <c:idx val="1"/>
          <c:order val="1"/>
          <c:tx>
            <c:strRef>
              <c:f>Monthly_Temp_LRs_FLs!$AX$2</c:f>
              <c:strCache>
                <c:ptCount val="1"/>
                <c:pt idx="0">
                  <c:v>Average Discharge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Monthly_Temp_LRs_FLs!$A$3:$A$157</c:f>
              <c:numCache>
                <c:formatCode>mmm\-yy</c:formatCode>
                <c:ptCount val="155"/>
                <c:pt idx="0">
                  <c:v>38930</c:v>
                </c:pt>
                <c:pt idx="1">
                  <c:v>38961</c:v>
                </c:pt>
                <c:pt idx="2">
                  <c:v>38991</c:v>
                </c:pt>
                <c:pt idx="3">
                  <c:v>39022</c:v>
                </c:pt>
                <c:pt idx="4">
                  <c:v>39052</c:v>
                </c:pt>
                <c:pt idx="5">
                  <c:v>39083</c:v>
                </c:pt>
                <c:pt idx="6">
                  <c:v>39114</c:v>
                </c:pt>
                <c:pt idx="7">
                  <c:v>39142</c:v>
                </c:pt>
                <c:pt idx="8">
                  <c:v>39173</c:v>
                </c:pt>
                <c:pt idx="9">
                  <c:v>39203</c:v>
                </c:pt>
                <c:pt idx="10">
                  <c:v>39234</c:v>
                </c:pt>
                <c:pt idx="11">
                  <c:v>39264</c:v>
                </c:pt>
                <c:pt idx="12">
                  <c:v>39295</c:v>
                </c:pt>
                <c:pt idx="13">
                  <c:v>39326</c:v>
                </c:pt>
                <c:pt idx="14">
                  <c:v>39356</c:v>
                </c:pt>
                <c:pt idx="15">
                  <c:v>39387</c:v>
                </c:pt>
                <c:pt idx="16">
                  <c:v>39417</c:v>
                </c:pt>
                <c:pt idx="17">
                  <c:v>39448</c:v>
                </c:pt>
                <c:pt idx="18">
                  <c:v>39479</c:v>
                </c:pt>
                <c:pt idx="19">
                  <c:v>39508</c:v>
                </c:pt>
                <c:pt idx="20">
                  <c:v>39539</c:v>
                </c:pt>
                <c:pt idx="21">
                  <c:v>39569</c:v>
                </c:pt>
                <c:pt idx="22">
                  <c:v>39600</c:v>
                </c:pt>
                <c:pt idx="23">
                  <c:v>39630</c:v>
                </c:pt>
                <c:pt idx="24">
                  <c:v>39661</c:v>
                </c:pt>
                <c:pt idx="25">
                  <c:v>39692</c:v>
                </c:pt>
                <c:pt idx="26">
                  <c:v>39722</c:v>
                </c:pt>
                <c:pt idx="27">
                  <c:v>39753</c:v>
                </c:pt>
                <c:pt idx="28">
                  <c:v>39783</c:v>
                </c:pt>
                <c:pt idx="29">
                  <c:v>39814</c:v>
                </c:pt>
                <c:pt idx="30">
                  <c:v>39845</c:v>
                </c:pt>
                <c:pt idx="31">
                  <c:v>39873</c:v>
                </c:pt>
                <c:pt idx="32">
                  <c:v>39904</c:v>
                </c:pt>
                <c:pt idx="33">
                  <c:v>39934</c:v>
                </c:pt>
                <c:pt idx="34">
                  <c:v>39965</c:v>
                </c:pt>
                <c:pt idx="35">
                  <c:v>39995</c:v>
                </c:pt>
                <c:pt idx="36">
                  <c:v>40026</c:v>
                </c:pt>
                <c:pt idx="37">
                  <c:v>40057</c:v>
                </c:pt>
                <c:pt idx="38">
                  <c:v>40087</c:v>
                </c:pt>
                <c:pt idx="39">
                  <c:v>40118</c:v>
                </c:pt>
                <c:pt idx="40">
                  <c:v>40148</c:v>
                </c:pt>
                <c:pt idx="41">
                  <c:v>40179</c:v>
                </c:pt>
                <c:pt idx="42">
                  <c:v>40210</c:v>
                </c:pt>
                <c:pt idx="43">
                  <c:v>40238</c:v>
                </c:pt>
                <c:pt idx="44">
                  <c:v>40269</c:v>
                </c:pt>
                <c:pt idx="45">
                  <c:v>40299</c:v>
                </c:pt>
                <c:pt idx="46">
                  <c:v>40330</c:v>
                </c:pt>
                <c:pt idx="47">
                  <c:v>40360</c:v>
                </c:pt>
                <c:pt idx="48">
                  <c:v>40391</c:v>
                </c:pt>
                <c:pt idx="49">
                  <c:v>40422</c:v>
                </c:pt>
                <c:pt idx="50">
                  <c:v>40452</c:v>
                </c:pt>
                <c:pt idx="51">
                  <c:v>40483</c:v>
                </c:pt>
                <c:pt idx="52">
                  <c:v>40513</c:v>
                </c:pt>
                <c:pt idx="53">
                  <c:v>40544</c:v>
                </c:pt>
                <c:pt idx="54">
                  <c:v>40575</c:v>
                </c:pt>
                <c:pt idx="55">
                  <c:v>40603</c:v>
                </c:pt>
                <c:pt idx="56">
                  <c:v>40634</c:v>
                </c:pt>
                <c:pt idx="57">
                  <c:v>40664</c:v>
                </c:pt>
                <c:pt idx="58">
                  <c:v>40695</c:v>
                </c:pt>
                <c:pt idx="59">
                  <c:v>40725</c:v>
                </c:pt>
                <c:pt idx="60">
                  <c:v>40756</c:v>
                </c:pt>
                <c:pt idx="61">
                  <c:v>40787</c:v>
                </c:pt>
                <c:pt idx="62">
                  <c:v>40817</c:v>
                </c:pt>
                <c:pt idx="63">
                  <c:v>40848</c:v>
                </c:pt>
                <c:pt idx="64">
                  <c:v>40878</c:v>
                </c:pt>
                <c:pt idx="65">
                  <c:v>40909</c:v>
                </c:pt>
                <c:pt idx="66">
                  <c:v>40940</c:v>
                </c:pt>
                <c:pt idx="67">
                  <c:v>40969</c:v>
                </c:pt>
                <c:pt idx="68">
                  <c:v>41000</c:v>
                </c:pt>
                <c:pt idx="69">
                  <c:v>41030</c:v>
                </c:pt>
                <c:pt idx="70">
                  <c:v>41061</c:v>
                </c:pt>
                <c:pt idx="71">
                  <c:v>41091</c:v>
                </c:pt>
                <c:pt idx="72">
                  <c:v>41122</c:v>
                </c:pt>
                <c:pt idx="73">
                  <c:v>41153</c:v>
                </c:pt>
                <c:pt idx="74">
                  <c:v>41183</c:v>
                </c:pt>
                <c:pt idx="75">
                  <c:v>41214</c:v>
                </c:pt>
                <c:pt idx="76">
                  <c:v>41244</c:v>
                </c:pt>
                <c:pt idx="77">
                  <c:v>41275</c:v>
                </c:pt>
                <c:pt idx="78">
                  <c:v>41306</c:v>
                </c:pt>
                <c:pt idx="79">
                  <c:v>41334</c:v>
                </c:pt>
                <c:pt idx="80">
                  <c:v>41365</c:v>
                </c:pt>
                <c:pt idx="81">
                  <c:v>41395</c:v>
                </c:pt>
                <c:pt idx="82">
                  <c:v>41426</c:v>
                </c:pt>
                <c:pt idx="83">
                  <c:v>41456</c:v>
                </c:pt>
                <c:pt idx="84">
                  <c:v>41487</c:v>
                </c:pt>
                <c:pt idx="85">
                  <c:v>41518</c:v>
                </c:pt>
                <c:pt idx="86">
                  <c:v>41548</c:v>
                </c:pt>
                <c:pt idx="87">
                  <c:v>41579</c:v>
                </c:pt>
                <c:pt idx="88">
                  <c:v>41609</c:v>
                </c:pt>
                <c:pt idx="89">
                  <c:v>41640</c:v>
                </c:pt>
                <c:pt idx="90">
                  <c:v>41671</c:v>
                </c:pt>
                <c:pt idx="91">
                  <c:v>41699</c:v>
                </c:pt>
                <c:pt idx="92">
                  <c:v>41730</c:v>
                </c:pt>
                <c:pt idx="93">
                  <c:v>41760</c:v>
                </c:pt>
                <c:pt idx="94">
                  <c:v>41791</c:v>
                </c:pt>
                <c:pt idx="95">
                  <c:v>41821</c:v>
                </c:pt>
                <c:pt idx="96">
                  <c:v>41852</c:v>
                </c:pt>
                <c:pt idx="97">
                  <c:v>41883</c:v>
                </c:pt>
                <c:pt idx="98">
                  <c:v>41913</c:v>
                </c:pt>
                <c:pt idx="99">
                  <c:v>41944</c:v>
                </c:pt>
                <c:pt idx="100">
                  <c:v>41974</c:v>
                </c:pt>
                <c:pt idx="101">
                  <c:v>42005</c:v>
                </c:pt>
                <c:pt idx="102">
                  <c:v>42036</c:v>
                </c:pt>
                <c:pt idx="103">
                  <c:v>42064</c:v>
                </c:pt>
                <c:pt idx="104">
                  <c:v>42095</c:v>
                </c:pt>
                <c:pt idx="105">
                  <c:v>42125</c:v>
                </c:pt>
                <c:pt idx="106">
                  <c:v>42156</c:v>
                </c:pt>
                <c:pt idx="107">
                  <c:v>42186</c:v>
                </c:pt>
                <c:pt idx="108">
                  <c:v>42217</c:v>
                </c:pt>
                <c:pt idx="109">
                  <c:v>42248</c:v>
                </c:pt>
                <c:pt idx="110">
                  <c:v>42278</c:v>
                </c:pt>
                <c:pt idx="111">
                  <c:v>42309</c:v>
                </c:pt>
                <c:pt idx="112">
                  <c:v>42339</c:v>
                </c:pt>
                <c:pt idx="113">
                  <c:v>42370</c:v>
                </c:pt>
                <c:pt idx="114">
                  <c:v>42401</c:v>
                </c:pt>
                <c:pt idx="115">
                  <c:v>42430</c:v>
                </c:pt>
                <c:pt idx="116">
                  <c:v>42461</c:v>
                </c:pt>
                <c:pt idx="117">
                  <c:v>42491</c:v>
                </c:pt>
                <c:pt idx="118">
                  <c:v>42522</c:v>
                </c:pt>
                <c:pt idx="119">
                  <c:v>42552</c:v>
                </c:pt>
                <c:pt idx="120">
                  <c:v>42583</c:v>
                </c:pt>
                <c:pt idx="121">
                  <c:v>42614</c:v>
                </c:pt>
                <c:pt idx="122">
                  <c:v>42644</c:v>
                </c:pt>
                <c:pt idx="123">
                  <c:v>42675</c:v>
                </c:pt>
                <c:pt idx="124">
                  <c:v>42705</c:v>
                </c:pt>
                <c:pt idx="125">
                  <c:v>42736</c:v>
                </c:pt>
                <c:pt idx="126">
                  <c:v>42767</c:v>
                </c:pt>
                <c:pt idx="127">
                  <c:v>42795</c:v>
                </c:pt>
                <c:pt idx="128">
                  <c:v>42826</c:v>
                </c:pt>
                <c:pt idx="129">
                  <c:v>42856</c:v>
                </c:pt>
                <c:pt idx="130">
                  <c:v>42887</c:v>
                </c:pt>
                <c:pt idx="131">
                  <c:v>42917</c:v>
                </c:pt>
                <c:pt idx="132">
                  <c:v>42948</c:v>
                </c:pt>
                <c:pt idx="133">
                  <c:v>42979</c:v>
                </c:pt>
                <c:pt idx="134">
                  <c:v>43009</c:v>
                </c:pt>
                <c:pt idx="135">
                  <c:v>43040</c:v>
                </c:pt>
                <c:pt idx="136">
                  <c:v>43070</c:v>
                </c:pt>
                <c:pt idx="137">
                  <c:v>43101</c:v>
                </c:pt>
                <c:pt idx="138">
                  <c:v>43132</c:v>
                </c:pt>
                <c:pt idx="139">
                  <c:v>43160</c:v>
                </c:pt>
                <c:pt idx="140">
                  <c:v>43191</c:v>
                </c:pt>
                <c:pt idx="141">
                  <c:v>43221</c:v>
                </c:pt>
                <c:pt idx="142">
                  <c:v>43252</c:v>
                </c:pt>
                <c:pt idx="143">
                  <c:v>43282</c:v>
                </c:pt>
                <c:pt idx="144">
                  <c:v>43313</c:v>
                </c:pt>
                <c:pt idx="145">
                  <c:v>43344</c:v>
                </c:pt>
                <c:pt idx="146">
                  <c:v>43374</c:v>
                </c:pt>
                <c:pt idx="147">
                  <c:v>43405</c:v>
                </c:pt>
                <c:pt idx="148">
                  <c:v>43435</c:v>
                </c:pt>
                <c:pt idx="149">
                  <c:v>43466</c:v>
                </c:pt>
                <c:pt idx="150">
                  <c:v>43497</c:v>
                </c:pt>
                <c:pt idx="151">
                  <c:v>43525</c:v>
                </c:pt>
                <c:pt idx="152">
                  <c:v>43556</c:v>
                </c:pt>
                <c:pt idx="153">
                  <c:v>43586</c:v>
                </c:pt>
                <c:pt idx="154">
                  <c:v>43617</c:v>
                </c:pt>
              </c:numCache>
            </c:numRef>
          </c:cat>
          <c:val>
            <c:numRef>
              <c:f>Monthly_Temp_LRs_FLs!$AX$3:$AX$157</c:f>
              <c:numCache>
                <c:formatCode>General</c:formatCode>
                <c:ptCount val="155"/>
                <c:pt idx="27">
                  <c:v>2.2349221457907502</c:v>
                </c:pt>
                <c:pt idx="28">
                  <c:v>2.6089223547426101</c:v>
                </c:pt>
                <c:pt idx="29">
                  <c:v>3.7495888411710299</c:v>
                </c:pt>
                <c:pt idx="30">
                  <c:v>3.95771223157552</c:v>
                </c:pt>
                <c:pt idx="31">
                  <c:v>4.75477290588071</c:v>
                </c:pt>
                <c:pt idx="32">
                  <c:v>4.20534873239479</c:v>
                </c:pt>
                <c:pt idx="33">
                  <c:v>2.4431913755846799</c:v>
                </c:pt>
                <c:pt idx="34">
                  <c:v>1.9243141318121499</c:v>
                </c:pt>
                <c:pt idx="35">
                  <c:v>1.52176781026815</c:v>
                </c:pt>
                <c:pt idx="36">
                  <c:v>1.7006351419375001</c:v>
                </c:pt>
                <c:pt idx="37">
                  <c:v>1.77736365670972</c:v>
                </c:pt>
                <c:pt idx="38">
                  <c:v>2.1373143457382402</c:v>
                </c:pt>
                <c:pt idx="39">
                  <c:v>2.61203045146181</c:v>
                </c:pt>
                <c:pt idx="40">
                  <c:v>3.9865098664057701</c:v>
                </c:pt>
                <c:pt idx="47">
                  <c:v>2.1503544122985399</c:v>
                </c:pt>
                <c:pt idx="48">
                  <c:v>2.1737782621965702</c:v>
                </c:pt>
                <c:pt idx="49">
                  <c:v>1.7475152408468799</c:v>
                </c:pt>
                <c:pt idx="50">
                  <c:v>2.28610909865289</c:v>
                </c:pt>
                <c:pt idx="51">
                  <c:v>2.6210097895371498</c:v>
                </c:pt>
                <c:pt idx="52">
                  <c:v>2.70136423298757</c:v>
                </c:pt>
                <c:pt idx="53">
                  <c:v>2.9713058371693499</c:v>
                </c:pt>
                <c:pt idx="54">
                  <c:v>2.92103896854502</c:v>
                </c:pt>
                <c:pt idx="55">
                  <c:v>2.7227200226797699</c:v>
                </c:pt>
                <c:pt idx="56">
                  <c:v>3.2697210193041699</c:v>
                </c:pt>
                <c:pt idx="57">
                  <c:v>2.2556252449848802</c:v>
                </c:pt>
                <c:pt idx="58">
                  <c:v>1.87610745314688</c:v>
                </c:pt>
                <c:pt idx="59">
                  <c:v>1.60347806546472</c:v>
                </c:pt>
                <c:pt idx="60">
                  <c:v>1.9869645618209</c:v>
                </c:pt>
                <c:pt idx="61">
                  <c:v>1.4387851903368101</c:v>
                </c:pt>
                <c:pt idx="62">
                  <c:v>1.7554092891273501</c:v>
                </c:pt>
                <c:pt idx="63">
                  <c:v>2.3383430005583299</c:v>
                </c:pt>
                <c:pt idx="64">
                  <c:v>2.9844787935927402</c:v>
                </c:pt>
                <c:pt idx="65">
                  <c:v>3.6675326563253199</c:v>
                </c:pt>
                <c:pt idx="82">
                  <c:v>1.93663694752727</c:v>
                </c:pt>
                <c:pt idx="83">
                  <c:v>1.61446386916935</c:v>
                </c:pt>
                <c:pt idx="84">
                  <c:v>1.67583929256183</c:v>
                </c:pt>
                <c:pt idx="85">
                  <c:v>1.7129166276274299</c:v>
                </c:pt>
                <c:pt idx="86">
                  <c:v>2.2586945623924701</c:v>
                </c:pt>
                <c:pt idx="87">
                  <c:v>2.3048490643454902</c:v>
                </c:pt>
                <c:pt idx="88">
                  <c:v>2.99071183862534</c:v>
                </c:pt>
                <c:pt idx="89">
                  <c:v>3.2717657025003399</c:v>
                </c:pt>
                <c:pt idx="90">
                  <c:v>3.6860815746023099</c:v>
                </c:pt>
                <c:pt idx="91">
                  <c:v>4.4000777064015502</c:v>
                </c:pt>
                <c:pt idx="92">
                  <c:v>3.1880281283874998</c:v>
                </c:pt>
                <c:pt idx="93">
                  <c:v>2.6955177376864898</c:v>
                </c:pt>
                <c:pt idx="94">
                  <c:v>2.4541385465158099</c:v>
                </c:pt>
                <c:pt idx="107">
                  <c:v>2.0601061490544201</c:v>
                </c:pt>
                <c:pt idx="108">
                  <c:v>2.1070453953753399</c:v>
                </c:pt>
                <c:pt idx="109">
                  <c:v>2.2226442873038201</c:v>
                </c:pt>
                <c:pt idx="110">
                  <c:v>2.3450430009879</c:v>
                </c:pt>
                <c:pt idx="111">
                  <c:v>2.5413242578111102</c:v>
                </c:pt>
                <c:pt idx="112">
                  <c:v>3.5979688932365601</c:v>
                </c:pt>
                <c:pt idx="113">
                  <c:v>4.1967987472937702</c:v>
                </c:pt>
                <c:pt idx="120">
                  <c:v>1.92841326195617</c:v>
                </c:pt>
                <c:pt idx="121">
                  <c:v>1.62173866351389</c:v>
                </c:pt>
                <c:pt idx="122">
                  <c:v>1.63312826245934</c:v>
                </c:pt>
                <c:pt idx="123">
                  <c:v>2.7274329256864598</c:v>
                </c:pt>
                <c:pt idx="124">
                  <c:v>2.3039138088686202</c:v>
                </c:pt>
                <c:pt idx="125">
                  <c:v>2.6967268560157902</c:v>
                </c:pt>
                <c:pt idx="126">
                  <c:v>2.7660079651938201</c:v>
                </c:pt>
                <c:pt idx="127">
                  <c:v>4.0481595320732504</c:v>
                </c:pt>
                <c:pt idx="128">
                  <c:v>3.17436497435139</c:v>
                </c:pt>
                <c:pt idx="129">
                  <c:v>2.0801810949539701</c:v>
                </c:pt>
                <c:pt idx="130">
                  <c:v>1.61994739908906</c:v>
                </c:pt>
                <c:pt idx="131">
                  <c:v>1.5404945121270199</c:v>
                </c:pt>
                <c:pt idx="132">
                  <c:v>1.61772628809543</c:v>
                </c:pt>
                <c:pt idx="133">
                  <c:v>1.2848662451111099</c:v>
                </c:pt>
                <c:pt idx="134">
                  <c:v>1.7481353897755401</c:v>
                </c:pt>
                <c:pt idx="135">
                  <c:v>1.98241484615139</c:v>
                </c:pt>
                <c:pt idx="136">
                  <c:v>2.4394875339878999</c:v>
                </c:pt>
                <c:pt idx="137">
                  <c:v>2.53570098805175</c:v>
                </c:pt>
                <c:pt idx="138">
                  <c:v>2.70026771597768</c:v>
                </c:pt>
                <c:pt idx="139">
                  <c:v>3.4000384254590101</c:v>
                </c:pt>
                <c:pt idx="140">
                  <c:v>2.9903697617277798</c:v>
                </c:pt>
                <c:pt idx="141">
                  <c:v>1.9281385330712399</c:v>
                </c:pt>
                <c:pt idx="142">
                  <c:v>1.5720530834805599</c:v>
                </c:pt>
                <c:pt idx="143">
                  <c:v>1.30399289707124</c:v>
                </c:pt>
                <c:pt idx="144">
                  <c:v>1.14371205225134</c:v>
                </c:pt>
                <c:pt idx="145">
                  <c:v>1.14837795772917</c:v>
                </c:pt>
                <c:pt idx="146">
                  <c:v>1.5530854321102101</c:v>
                </c:pt>
                <c:pt idx="147">
                  <c:v>2.6536527362472202</c:v>
                </c:pt>
                <c:pt idx="148">
                  <c:v>2.3688260324341401</c:v>
                </c:pt>
                <c:pt idx="149">
                  <c:v>2.82287001976679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4C6-4412-AA6E-7F8FD128BA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9938104"/>
        <c:axId val="839933184"/>
      </c:lineChart>
      <c:dateAx>
        <c:axId val="722389072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389400"/>
        <c:crosses val="autoZero"/>
        <c:auto val="0"/>
        <c:lblOffset val="100"/>
        <c:baseTimeUnit val="days"/>
      </c:dateAx>
      <c:valAx>
        <c:axId val="722389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Lapse Rate (C/km)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389072"/>
        <c:crosses val="autoZero"/>
        <c:crossBetween val="between"/>
      </c:valAx>
      <c:valAx>
        <c:axId val="839933184"/>
        <c:scaling>
          <c:orientation val="minMax"/>
        </c:scaling>
        <c:delete val="0"/>
        <c:axPos val="r"/>
        <c:title>
          <c:tx>
            <c:rich>
              <a:bodyPr rot="540000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Discharge (cms)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540000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938104"/>
        <c:crosses val="max"/>
        <c:crossBetween val="between"/>
      </c:valAx>
      <c:dateAx>
        <c:axId val="839938104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839933184"/>
        <c:crosses val="autoZero"/>
        <c:auto val="0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64</xdr:col>
      <xdr:colOff>231321</xdr:colOff>
      <xdr:row>53</xdr:row>
      <xdr:rowOff>95251</xdr:rowOff>
    </xdr:from>
    <xdr:to>
      <xdr:col>79</xdr:col>
      <xdr:colOff>231321</xdr:colOff>
      <xdr:row>85</xdr:row>
      <xdr:rowOff>38101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0BAB2B-C776-4567-9131-661F2EDE9C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80</xdr:col>
      <xdr:colOff>0</xdr:colOff>
      <xdr:row>27</xdr:row>
      <xdr:rowOff>0</xdr:rowOff>
    </xdr:from>
    <xdr:to>
      <xdr:col>95</xdr:col>
      <xdr:colOff>0</xdr:colOff>
      <xdr:row>53</xdr:row>
      <xdr:rowOff>24493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2DD7F2-C249-4BFB-AD6B-0A3A51D759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80</xdr:col>
      <xdr:colOff>0</xdr:colOff>
      <xdr:row>54</xdr:row>
      <xdr:rowOff>0</xdr:rowOff>
    </xdr:from>
    <xdr:to>
      <xdr:col>95</xdr:col>
      <xdr:colOff>0</xdr:colOff>
      <xdr:row>85</xdr:row>
      <xdr:rowOff>106136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7A8E6AE-7B64-4D07-88BF-CC1F15BFD6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95</xdr:col>
      <xdr:colOff>381000</xdr:colOff>
      <xdr:row>27</xdr:row>
      <xdr:rowOff>1</xdr:rowOff>
    </xdr:from>
    <xdr:to>
      <xdr:col>124</xdr:col>
      <xdr:colOff>381000</xdr:colOff>
      <xdr:row>53</xdr:row>
      <xdr:rowOff>24494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627851A-5BF7-458F-BC98-5B0CC6EC49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64</xdr:col>
      <xdr:colOff>240516</xdr:colOff>
      <xdr:row>32</xdr:row>
      <xdr:rowOff>84621</xdr:rowOff>
    </xdr:from>
    <xdr:to>
      <xdr:col>79</xdr:col>
      <xdr:colOff>240516</xdr:colOff>
      <xdr:row>58</xdr:row>
      <xdr:rowOff>109114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FFBC95C-110A-40A0-8A1B-08B19B2C76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34D47-CEAC-4992-8828-5698F29D7EBD}">
  <sheetPr>
    <tabColor rgb="FFFFFF00"/>
  </sheetPr>
  <dimension ref="A1:KR247"/>
  <sheetViews>
    <sheetView tabSelected="1" topLeftCell="BA1" zoomScale="110" zoomScaleNormal="110" workbookViewId="0">
      <selection activeCell="J3" sqref="J3"/>
    </sheetView>
  </sheetViews>
  <sheetFormatPr defaultColWidth="8.5546875" defaultRowHeight="13.2"/>
  <cols>
    <col min="1" max="1" width="9.109375" customWidth="1"/>
    <col min="2" max="2" width="8.6640625" bestFit="1" customWidth="1"/>
    <col min="3" max="6" width="8.5546875" style="3"/>
    <col min="7" max="7" width="8.77734375" style="3" customWidth="1"/>
    <col min="8" max="9" width="13.33203125" style="3" bestFit="1" customWidth="1"/>
    <col min="10" max="21" width="8.5546875" style="3"/>
    <col min="28" max="28" width="9.33203125" customWidth="1"/>
    <col min="29" max="29" width="10.5546875" bestFit="1" customWidth="1"/>
    <col min="30" max="30" width="10.5546875" customWidth="1"/>
    <col min="51" max="51" width="9.109375" customWidth="1"/>
  </cols>
  <sheetData>
    <row r="1" spans="1:304" ht="28.2" customHeight="1" thickBo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I1" s="46" t="s">
        <v>76</v>
      </c>
      <c r="J1" s="4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3" t="s">
        <v>12</v>
      </c>
      <c r="P1" s="4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3" t="s">
        <v>18</v>
      </c>
      <c r="V1" s="2" t="s">
        <v>19</v>
      </c>
      <c r="W1" s="2" t="s">
        <v>19</v>
      </c>
      <c r="X1" s="2" t="s">
        <v>19</v>
      </c>
      <c r="Y1" s="2" t="s">
        <v>19</v>
      </c>
      <c r="Z1" s="2" t="s">
        <v>19</v>
      </c>
      <c r="AA1" s="2" t="s">
        <v>19</v>
      </c>
      <c r="AB1" s="47" t="s">
        <v>77</v>
      </c>
      <c r="AC1" s="1" t="s">
        <v>1</v>
      </c>
      <c r="AD1" s="2" t="s">
        <v>2</v>
      </c>
      <c r="AE1" s="2" t="s">
        <v>3</v>
      </c>
      <c r="AF1" s="2" t="s">
        <v>4</v>
      </c>
      <c r="AG1" s="2" t="s">
        <v>5</v>
      </c>
      <c r="AH1" s="3" t="s">
        <v>6</v>
      </c>
      <c r="AI1" s="3"/>
      <c r="AJ1" s="3"/>
      <c r="AK1" s="4" t="s">
        <v>7</v>
      </c>
      <c r="AL1" s="2" t="s">
        <v>8</v>
      </c>
      <c r="AM1" s="2" t="s">
        <v>9</v>
      </c>
      <c r="AN1" s="2" t="s">
        <v>10</v>
      </c>
      <c r="AO1" s="2" t="s">
        <v>11</v>
      </c>
      <c r="AP1" s="3" t="s">
        <v>12</v>
      </c>
      <c r="AQ1" s="4" t="s">
        <v>13</v>
      </c>
      <c r="AR1" s="2" t="s">
        <v>14</v>
      </c>
      <c r="AS1" s="2" t="s">
        <v>15</v>
      </c>
      <c r="AT1" s="2" t="s">
        <v>16</v>
      </c>
      <c r="AU1" s="2" t="s">
        <v>17</v>
      </c>
      <c r="AV1" s="3" t="s">
        <v>18</v>
      </c>
      <c r="AY1" s="1" t="s">
        <v>0</v>
      </c>
      <c r="BO1" s="1" t="s">
        <v>20</v>
      </c>
      <c r="DS1" s="1" t="s">
        <v>21</v>
      </c>
      <c r="DX1" s="1" t="s">
        <v>22</v>
      </c>
      <c r="EU1" s="1" t="s">
        <v>23</v>
      </c>
      <c r="FI1" s="1" t="s">
        <v>24</v>
      </c>
    </row>
    <row r="2" spans="1:304" s="17" customFormat="1" ht="66.599999999999994" thickBot="1">
      <c r="A2" s="5" t="s">
        <v>25</v>
      </c>
      <c r="B2" s="5">
        <v>3850</v>
      </c>
      <c r="C2" s="6">
        <v>3955</v>
      </c>
      <c r="D2" s="6">
        <v>4122</v>
      </c>
      <c r="E2" s="6">
        <v>4355</v>
      </c>
      <c r="F2" s="6">
        <v>4560</v>
      </c>
      <c r="G2" s="3">
        <v>4760</v>
      </c>
      <c r="H2" s="6" t="s">
        <v>26</v>
      </c>
      <c r="I2" s="6" t="s">
        <v>27</v>
      </c>
      <c r="J2" s="5">
        <v>3850</v>
      </c>
      <c r="K2" s="6">
        <v>3955</v>
      </c>
      <c r="L2" s="6">
        <v>4122</v>
      </c>
      <c r="M2" s="6">
        <v>4355</v>
      </c>
      <c r="N2" s="6">
        <v>4560</v>
      </c>
      <c r="O2" s="3">
        <v>4760</v>
      </c>
      <c r="P2" s="5">
        <v>3850</v>
      </c>
      <c r="Q2" s="6">
        <v>3955</v>
      </c>
      <c r="R2" s="6">
        <v>4122</v>
      </c>
      <c r="S2" s="6">
        <v>4355</v>
      </c>
      <c r="T2" s="6">
        <v>4560</v>
      </c>
      <c r="U2" s="3">
        <v>4760</v>
      </c>
      <c r="V2" s="7" t="s">
        <v>28</v>
      </c>
      <c r="W2" s="7" t="s">
        <v>28</v>
      </c>
      <c r="X2" s="7" t="s">
        <v>29</v>
      </c>
      <c r="Y2" s="7" t="s">
        <v>30</v>
      </c>
      <c r="Z2" s="7" t="s">
        <v>31</v>
      </c>
      <c r="AA2" s="7" t="s">
        <v>32</v>
      </c>
      <c r="AB2" s="7"/>
      <c r="AC2" s="5">
        <v>3850</v>
      </c>
      <c r="AD2" s="6">
        <v>3955</v>
      </c>
      <c r="AE2" s="6">
        <v>4122</v>
      </c>
      <c r="AF2" s="6">
        <v>4355</v>
      </c>
      <c r="AG2" s="6">
        <v>4560</v>
      </c>
      <c r="AH2" s="3">
        <v>4760</v>
      </c>
      <c r="AI2" s="6" t="s">
        <v>78</v>
      </c>
      <c r="AJ2" s="6" t="s">
        <v>79</v>
      </c>
      <c r="AK2" s="5">
        <v>3850</v>
      </c>
      <c r="AL2" s="6">
        <v>3955</v>
      </c>
      <c r="AM2" s="6">
        <v>4122</v>
      </c>
      <c r="AN2" s="6">
        <v>4355</v>
      </c>
      <c r="AO2" s="6">
        <v>4560</v>
      </c>
      <c r="AP2" s="3">
        <v>4760</v>
      </c>
      <c r="AQ2" s="5">
        <v>3850</v>
      </c>
      <c r="AR2" s="6">
        <v>3955</v>
      </c>
      <c r="AS2" s="6">
        <v>4122</v>
      </c>
      <c r="AT2" s="6">
        <v>4355</v>
      </c>
      <c r="AU2" s="6">
        <v>4560</v>
      </c>
      <c r="AV2" s="3">
        <v>4760</v>
      </c>
      <c r="AW2" s="8" t="s">
        <v>33</v>
      </c>
      <c r="AX2" s="8" t="s">
        <v>34</v>
      </c>
      <c r="AY2" s="5" t="s">
        <v>25</v>
      </c>
      <c r="AZ2" s="8" t="s">
        <v>26</v>
      </c>
      <c r="BA2" s="9" t="s">
        <v>35</v>
      </c>
      <c r="BB2" s="9" t="s">
        <v>35</v>
      </c>
      <c r="BC2" s="9" t="s">
        <v>36</v>
      </c>
      <c r="BD2" s="9" t="s">
        <v>37</v>
      </c>
      <c r="BE2" s="9" t="s">
        <v>38</v>
      </c>
      <c r="BF2" s="9" t="s">
        <v>39</v>
      </c>
      <c r="BG2" s="9" t="s">
        <v>40</v>
      </c>
      <c r="BH2" s="9" t="s">
        <v>41</v>
      </c>
      <c r="BI2" s="9" t="s">
        <v>42</v>
      </c>
      <c r="BJ2" s="9" t="s">
        <v>43</v>
      </c>
      <c r="BK2" s="9"/>
      <c r="BL2" s="9"/>
      <c r="BM2" s="9"/>
      <c r="BN2" s="9"/>
      <c r="BO2" s="10" t="s">
        <v>44</v>
      </c>
      <c r="BP2" s="10" t="s">
        <v>45</v>
      </c>
      <c r="BQ2" s="10" t="s">
        <v>46</v>
      </c>
      <c r="BR2" s="10" t="s">
        <v>47</v>
      </c>
      <c r="BS2" s="10" t="s">
        <v>48</v>
      </c>
      <c r="BT2" s="10" t="s">
        <v>49</v>
      </c>
      <c r="BU2" s="10" t="s">
        <v>50</v>
      </c>
      <c r="BV2" s="10" t="s">
        <v>51</v>
      </c>
      <c r="BW2" s="10" t="s">
        <v>52</v>
      </c>
      <c r="BX2" s="10" t="s">
        <v>53</v>
      </c>
      <c r="BY2" s="10" t="s">
        <v>54</v>
      </c>
      <c r="BZ2" s="10" t="s">
        <v>55</v>
      </c>
      <c r="CA2" s="10" t="s">
        <v>56</v>
      </c>
      <c r="CB2" s="9"/>
      <c r="CC2" s="11" t="s">
        <v>57</v>
      </c>
      <c r="CD2" s="12" t="s">
        <v>58</v>
      </c>
      <c r="CE2" s="13" t="s">
        <v>59</v>
      </c>
      <c r="CF2" s="13" t="s">
        <v>60</v>
      </c>
      <c r="CG2" s="14" t="s">
        <v>61</v>
      </c>
      <c r="CH2" s="14" t="s">
        <v>62</v>
      </c>
      <c r="CI2" s="14" t="s">
        <v>63</v>
      </c>
      <c r="CJ2" s="14" t="s">
        <v>64</v>
      </c>
      <c r="CK2" s="13" t="s">
        <v>65</v>
      </c>
      <c r="CL2" s="15" t="s">
        <v>66</v>
      </c>
      <c r="CM2" s="14" t="s">
        <v>67</v>
      </c>
      <c r="CN2" s="14" t="s">
        <v>68</v>
      </c>
      <c r="CO2" s="14" t="s">
        <v>69</v>
      </c>
      <c r="CP2" s="9"/>
      <c r="CQ2" s="11" t="s">
        <v>70</v>
      </c>
      <c r="CR2" s="12" t="s">
        <v>58</v>
      </c>
      <c r="CS2" s="13" t="s">
        <v>59</v>
      </c>
      <c r="CT2" s="13" t="s">
        <v>60</v>
      </c>
      <c r="CU2" s="14" t="s">
        <v>61</v>
      </c>
      <c r="CV2" s="14" t="s">
        <v>62</v>
      </c>
      <c r="CW2" s="14" t="s">
        <v>63</v>
      </c>
      <c r="CX2" s="14" t="s">
        <v>64</v>
      </c>
      <c r="CY2" s="13" t="s">
        <v>65</v>
      </c>
      <c r="CZ2" s="15" t="s">
        <v>66</v>
      </c>
      <c r="DA2" s="14" t="s">
        <v>67</v>
      </c>
      <c r="DB2" s="14" t="s">
        <v>68</v>
      </c>
      <c r="DC2" s="14" t="s">
        <v>69</v>
      </c>
      <c r="DD2" s="9"/>
      <c r="DE2" s="11" t="s">
        <v>71</v>
      </c>
      <c r="DF2" s="12" t="s">
        <v>58</v>
      </c>
      <c r="DG2" s="13" t="s">
        <v>59</v>
      </c>
      <c r="DH2" s="13" t="s">
        <v>60</v>
      </c>
      <c r="DI2" s="14" t="s">
        <v>61</v>
      </c>
      <c r="DJ2" s="14" t="s">
        <v>62</v>
      </c>
      <c r="DK2" s="14" t="s">
        <v>63</v>
      </c>
      <c r="DL2" s="14" t="s">
        <v>64</v>
      </c>
      <c r="DM2" s="13" t="s">
        <v>65</v>
      </c>
      <c r="DN2" s="15" t="s">
        <v>66</v>
      </c>
      <c r="DO2" s="14" t="s">
        <v>67</v>
      </c>
      <c r="DP2" s="14" t="s">
        <v>68</v>
      </c>
      <c r="DQ2" s="14" t="s">
        <v>69</v>
      </c>
      <c r="DR2" s="9"/>
      <c r="DS2" s="10" t="s">
        <v>72</v>
      </c>
      <c r="DT2" s="12" t="s">
        <v>58</v>
      </c>
      <c r="DU2" s="13" t="s">
        <v>59</v>
      </c>
      <c r="DV2" s="13" t="s">
        <v>60</v>
      </c>
      <c r="DW2" s="14" t="s">
        <v>61</v>
      </c>
      <c r="DX2" s="14" t="s">
        <v>62</v>
      </c>
      <c r="DY2" s="14" t="s">
        <v>63</v>
      </c>
      <c r="DZ2" s="14" t="s">
        <v>64</v>
      </c>
      <c r="EA2" s="13" t="s">
        <v>65</v>
      </c>
      <c r="EB2" s="15" t="s">
        <v>66</v>
      </c>
      <c r="EC2" s="14" t="s">
        <v>67</v>
      </c>
      <c r="ED2" s="14" t="s">
        <v>68</v>
      </c>
      <c r="EE2" s="14" t="s">
        <v>69</v>
      </c>
      <c r="EF2" s="9"/>
      <c r="EG2" s="11" t="s">
        <v>73</v>
      </c>
      <c r="EH2" s="12" t="s">
        <v>58</v>
      </c>
      <c r="EI2" s="13" t="s">
        <v>59</v>
      </c>
      <c r="EJ2" s="13" t="s">
        <v>60</v>
      </c>
      <c r="EK2" s="14" t="s">
        <v>61</v>
      </c>
      <c r="EL2" s="14" t="s">
        <v>62</v>
      </c>
      <c r="EM2" s="14" t="s">
        <v>63</v>
      </c>
      <c r="EN2" s="14" t="s">
        <v>64</v>
      </c>
      <c r="EO2" s="13" t="s">
        <v>65</v>
      </c>
      <c r="EP2" s="15" t="s">
        <v>66</v>
      </c>
      <c r="EQ2" s="14" t="s">
        <v>67</v>
      </c>
      <c r="ER2" s="14" t="s">
        <v>68</v>
      </c>
      <c r="ES2" s="14" t="s">
        <v>69</v>
      </c>
      <c r="ET2" s="9"/>
      <c r="EU2" s="11" t="s">
        <v>74</v>
      </c>
      <c r="EV2" s="12" t="s">
        <v>58</v>
      </c>
      <c r="EW2" s="13" t="s">
        <v>59</v>
      </c>
      <c r="EX2" s="13" t="s">
        <v>60</v>
      </c>
      <c r="EY2" s="14" t="s">
        <v>61</v>
      </c>
      <c r="EZ2" s="14" t="s">
        <v>62</v>
      </c>
      <c r="FA2" s="14" t="s">
        <v>63</v>
      </c>
      <c r="FB2" s="14" t="s">
        <v>64</v>
      </c>
      <c r="FC2" s="13" t="s">
        <v>65</v>
      </c>
      <c r="FD2" s="15" t="s">
        <v>66</v>
      </c>
      <c r="FE2" s="14" t="s">
        <v>67</v>
      </c>
      <c r="FF2" s="14" t="s">
        <v>68</v>
      </c>
      <c r="FG2" s="14" t="s">
        <v>69</v>
      </c>
      <c r="FH2" s="9"/>
      <c r="FI2" s="11" t="s">
        <v>75</v>
      </c>
      <c r="FJ2" s="12" t="s">
        <v>58</v>
      </c>
      <c r="FK2" s="13" t="s">
        <v>59</v>
      </c>
      <c r="FL2" s="13" t="s">
        <v>60</v>
      </c>
      <c r="FM2" s="14" t="s">
        <v>61</v>
      </c>
      <c r="FN2" s="14" t="s">
        <v>62</v>
      </c>
      <c r="FO2" s="14" t="s">
        <v>63</v>
      </c>
      <c r="FP2" s="14" t="s">
        <v>64</v>
      </c>
      <c r="FQ2" s="13" t="s">
        <v>65</v>
      </c>
      <c r="FR2" s="15" t="s">
        <v>66</v>
      </c>
      <c r="FS2" s="14" t="s">
        <v>67</v>
      </c>
      <c r="FT2" s="14" t="s">
        <v>68</v>
      </c>
      <c r="FU2" s="14" t="s">
        <v>69</v>
      </c>
      <c r="FV2" s="9"/>
      <c r="FW2" s="9"/>
      <c r="FX2" s="9"/>
      <c r="FY2" s="16"/>
      <c r="FZ2" s="9"/>
      <c r="GA2" s="9"/>
      <c r="GB2" s="9"/>
      <c r="GC2" s="9"/>
      <c r="GD2" s="9"/>
      <c r="GE2" s="9"/>
      <c r="GF2" s="9"/>
      <c r="GG2" s="9"/>
      <c r="GH2" s="9"/>
      <c r="GI2" s="9"/>
      <c r="GJ2" s="9"/>
      <c r="GK2" s="16"/>
      <c r="GL2" s="9"/>
      <c r="GM2" s="9"/>
      <c r="GN2" s="9"/>
      <c r="GO2" s="9"/>
      <c r="GP2" s="9"/>
      <c r="GQ2" s="16"/>
      <c r="GR2" s="9"/>
      <c r="GS2" s="9"/>
      <c r="GT2" s="9"/>
      <c r="GU2" s="9"/>
      <c r="GV2" s="9"/>
      <c r="GW2" s="16"/>
      <c r="GX2" s="9"/>
      <c r="GY2" s="9"/>
      <c r="GZ2" s="9"/>
      <c r="HA2" s="9"/>
      <c r="HB2" s="9"/>
      <c r="HC2" s="16"/>
      <c r="HD2" s="9"/>
      <c r="HE2" s="9"/>
      <c r="HF2" s="9"/>
      <c r="HG2" s="9"/>
      <c r="HH2" s="9"/>
      <c r="HI2" s="16"/>
      <c r="HJ2" s="9"/>
      <c r="HK2" s="9"/>
      <c r="HL2" s="9"/>
      <c r="HM2" s="9"/>
      <c r="HN2" s="9"/>
      <c r="HO2" s="16"/>
      <c r="HP2" s="9"/>
      <c r="HQ2" s="9"/>
      <c r="HR2" s="9"/>
      <c r="HS2" s="9"/>
      <c r="HT2" s="9"/>
      <c r="HW2" s="9"/>
      <c r="HX2" s="9"/>
      <c r="HY2" s="9"/>
      <c r="HZ2" s="9"/>
      <c r="IA2" s="18"/>
      <c r="IB2" s="19"/>
      <c r="IC2" s="19"/>
      <c r="ID2" s="9"/>
      <c r="IE2" s="9"/>
      <c r="IF2" s="9"/>
      <c r="IG2" s="9"/>
      <c r="IH2" s="19"/>
      <c r="II2" s="19"/>
      <c r="IJ2" s="19"/>
      <c r="IK2" s="19"/>
      <c r="IL2" s="19"/>
      <c r="IM2" s="19"/>
      <c r="IN2" s="19"/>
      <c r="IO2" s="19"/>
      <c r="IP2" s="9"/>
      <c r="IQ2" s="9"/>
      <c r="IR2" s="9"/>
      <c r="IS2" s="9"/>
      <c r="IT2" s="19"/>
      <c r="IU2" s="19"/>
      <c r="IV2" s="9"/>
      <c r="IW2" s="9"/>
      <c r="IX2" s="9"/>
      <c r="IY2" s="9"/>
      <c r="IZ2" s="19"/>
      <c r="JA2" s="19"/>
      <c r="JB2" s="9"/>
      <c r="JC2" s="9"/>
      <c r="JD2" s="9"/>
      <c r="JE2" s="9"/>
      <c r="JF2" s="19"/>
      <c r="JG2" s="19"/>
      <c r="JH2" s="9"/>
      <c r="JI2" s="9"/>
      <c r="JJ2" s="9"/>
      <c r="JK2" s="9"/>
      <c r="JL2" s="19"/>
      <c r="JM2" s="19"/>
      <c r="JN2" s="9"/>
      <c r="JO2" s="9"/>
      <c r="JP2" s="9"/>
      <c r="JQ2" s="9"/>
      <c r="JR2" s="19"/>
      <c r="JS2" s="19"/>
      <c r="JT2" s="19"/>
      <c r="JU2" s="9"/>
      <c r="JV2" s="9"/>
      <c r="JW2" s="9"/>
      <c r="JX2" s="9"/>
      <c r="JY2" s="19"/>
      <c r="JZ2" s="19"/>
      <c r="KC2" s="9"/>
      <c r="KD2" s="9"/>
      <c r="KE2" s="9"/>
      <c r="KF2" s="9"/>
      <c r="KH2" s="19"/>
      <c r="KI2" s="9"/>
      <c r="KJ2" s="9"/>
      <c r="KK2" s="9"/>
      <c r="KL2" s="9"/>
      <c r="KN2" s="19"/>
      <c r="KO2" s="9"/>
      <c r="KP2" s="9"/>
      <c r="KQ2" s="9"/>
      <c r="KR2" s="9"/>
    </row>
    <row r="3" spans="1:304" ht="18" customHeight="1" thickBot="1">
      <c r="A3" s="20">
        <v>38930</v>
      </c>
      <c r="B3" s="3">
        <v>9.422043010752688</v>
      </c>
      <c r="C3" s="3">
        <v>8.36491935483871</v>
      </c>
      <c r="D3" s="3">
        <v>6.2237903225806468</v>
      </c>
      <c r="E3" s="3">
        <v>4.2338709677419351</v>
      </c>
      <c r="F3" s="3">
        <v>2.763709677419357</v>
      </c>
      <c r="G3" s="3">
        <v>2.3911290322580645</v>
      </c>
      <c r="H3" s="6">
        <f>INTERCEPT($C$2:$F$2,C3:F3)</f>
        <v>4830.7273176621002</v>
      </c>
      <c r="I3" s="6">
        <f>-SLOPE(C3:F3,$C$2:$F$2)*1000</f>
        <v>9.1194925788278294</v>
      </c>
      <c r="J3" s="3">
        <v>0.81774193548387075</v>
      </c>
      <c r="K3" s="3">
        <v>0.32432795698924749</v>
      </c>
      <c r="L3" s="3">
        <v>-0.45631720430107464</v>
      </c>
      <c r="M3" s="3">
        <v>-1.525806451612902</v>
      </c>
      <c r="N3" s="3">
        <v>-2.2298387096774235</v>
      </c>
      <c r="O3" s="3">
        <v>-2.2545698924731203</v>
      </c>
      <c r="P3" s="3">
        <v>59.252284946236536</v>
      </c>
      <c r="Q3" s="3">
        <v>59.547715053763383</v>
      </c>
      <c r="R3" s="3">
        <v>64.87365591397851</v>
      </c>
      <c r="S3" s="3">
        <v>68.013709677419257</v>
      </c>
      <c r="T3" s="3">
        <v>71.052016129032211</v>
      </c>
      <c r="U3" s="3">
        <v>73.437903225806423</v>
      </c>
      <c r="V3" s="3">
        <v>0.896329463805565</v>
      </c>
      <c r="W3" s="3"/>
      <c r="X3" s="3">
        <v>210.428897849462</v>
      </c>
      <c r="Y3" s="3">
        <v>0</v>
      </c>
      <c r="Z3" s="3">
        <v>8.0313172043010699</v>
      </c>
      <c r="AA3" s="3">
        <v>1.33615591397849</v>
      </c>
      <c r="AB3" s="3"/>
      <c r="AC3" s="3">
        <v>2.806451612903226</v>
      </c>
      <c r="AD3" s="3">
        <v>3.661290322580645</v>
      </c>
      <c r="AE3" s="3">
        <v>2.0161290322580645</v>
      </c>
      <c r="AF3" s="3">
        <v>0.90322580645161288</v>
      </c>
      <c r="AG3" s="3">
        <v>-0.26774193548387099</v>
      </c>
      <c r="AH3" s="3">
        <v>-0.83870967741935487</v>
      </c>
      <c r="AI3" s="6">
        <f>INTERCEPT($C$2:$F$2,AD3:AG3)</f>
        <v>4494.9919447287903</v>
      </c>
      <c r="AJ3" s="6">
        <f>-SLOPE(AD3:AG3,$C$2:$F$2)*1000</f>
        <v>6.2402295535834957</v>
      </c>
      <c r="AK3" s="3">
        <v>-1.1322580645161293</v>
      </c>
      <c r="AL3" s="3">
        <v>-1.2870967741935488</v>
      </c>
      <c r="AM3" s="3">
        <v>-1.9935483870967736</v>
      </c>
      <c r="AN3" s="3">
        <v>-3.04516129032258</v>
      </c>
      <c r="AO3" s="3">
        <v>-4.4032258064516139</v>
      </c>
      <c r="AP3" s="3">
        <v>-4.4032258064516139</v>
      </c>
      <c r="AQ3" s="3">
        <v>29.312903225806444</v>
      </c>
      <c r="AR3" s="3">
        <v>35.654838709677428</v>
      </c>
      <c r="AS3" s="3">
        <v>38.912903225806467</v>
      </c>
      <c r="AT3" s="3">
        <v>46.664516129032258</v>
      </c>
      <c r="AU3" s="3">
        <v>51.493548387096773</v>
      </c>
      <c r="AV3" s="3">
        <v>51.580645161290327</v>
      </c>
      <c r="AW3" s="21"/>
      <c r="AX3" s="21"/>
      <c r="AY3" s="20">
        <v>38930</v>
      </c>
      <c r="AZ3" s="21">
        <v>4830.7273176621002</v>
      </c>
      <c r="BA3" s="22">
        <v>0.3</v>
      </c>
      <c r="BB3" s="22">
        <v>0.3</v>
      </c>
      <c r="BC3" s="23">
        <v>-1.7</v>
      </c>
      <c r="BD3">
        <v>29.21</v>
      </c>
      <c r="BE3">
        <v>27.16</v>
      </c>
      <c r="BF3">
        <v>21.71</v>
      </c>
      <c r="BG3" s="9"/>
      <c r="BH3" s="9"/>
      <c r="BI3" s="9"/>
      <c r="BJ3" s="9"/>
      <c r="BO3" s="10">
        <v>2000</v>
      </c>
      <c r="BP3" s="24">
        <v>-1.7</v>
      </c>
      <c r="BQ3" s="24">
        <v>-1.4</v>
      </c>
      <c r="BR3" s="24">
        <v>-1.1000000000000001</v>
      </c>
      <c r="BS3" s="24">
        <v>-0.8</v>
      </c>
      <c r="BT3" s="24">
        <v>-0.7</v>
      </c>
      <c r="BU3" s="24">
        <v>-0.6</v>
      </c>
      <c r="BV3" s="24">
        <v>-0.6</v>
      </c>
      <c r="BW3" s="24">
        <v>-0.5</v>
      </c>
      <c r="BX3" s="24">
        <v>-0.5</v>
      </c>
      <c r="BY3" s="24">
        <v>-0.6</v>
      </c>
      <c r="BZ3" s="24">
        <v>-0.7</v>
      </c>
      <c r="CA3" s="24">
        <v>-0.7</v>
      </c>
      <c r="CC3">
        <v>2000</v>
      </c>
      <c r="CD3">
        <v>26.99</v>
      </c>
      <c r="CE3">
        <v>26.73</v>
      </c>
      <c r="CF3">
        <v>26.89</v>
      </c>
      <c r="CG3">
        <v>27.2</v>
      </c>
      <c r="CH3">
        <v>27.63</v>
      </c>
      <c r="CI3">
        <v>28.06</v>
      </c>
      <c r="CJ3">
        <v>28.17</v>
      </c>
      <c r="CK3">
        <v>28.16</v>
      </c>
      <c r="CL3">
        <v>28.27</v>
      </c>
      <c r="CM3">
        <v>28.11</v>
      </c>
      <c r="CN3">
        <v>27.92</v>
      </c>
      <c r="CO3">
        <v>27.59</v>
      </c>
      <c r="CQ3">
        <v>2000</v>
      </c>
      <c r="CR3">
        <v>23.81</v>
      </c>
      <c r="CS3">
        <v>25.48</v>
      </c>
      <c r="CT3">
        <v>26.02</v>
      </c>
      <c r="CU3">
        <v>25.5</v>
      </c>
      <c r="CV3">
        <v>24.02</v>
      </c>
      <c r="CW3">
        <v>22.75</v>
      </c>
      <c r="CX3">
        <v>21.68</v>
      </c>
      <c r="CY3">
        <v>20.440000000000001</v>
      </c>
      <c r="CZ3">
        <v>20.5</v>
      </c>
      <c r="DA3">
        <v>20.74</v>
      </c>
      <c r="DB3">
        <v>20.46</v>
      </c>
      <c r="DC3">
        <v>21.85</v>
      </c>
      <c r="DE3">
        <v>2000</v>
      </c>
      <c r="DF3">
        <v>24.78</v>
      </c>
      <c r="DG3">
        <v>25.21</v>
      </c>
      <c r="DH3">
        <v>26.3</v>
      </c>
      <c r="DI3">
        <v>26.95</v>
      </c>
      <c r="DJ3">
        <v>27.07</v>
      </c>
      <c r="DK3">
        <v>26.94</v>
      </c>
      <c r="DL3">
        <v>26.63</v>
      </c>
      <c r="DM3">
        <v>26.37</v>
      </c>
      <c r="DN3">
        <v>26.2</v>
      </c>
      <c r="DO3">
        <v>26.02</v>
      </c>
      <c r="DP3">
        <v>25.92</v>
      </c>
      <c r="DQ3">
        <v>25.68</v>
      </c>
      <c r="DS3">
        <v>2000</v>
      </c>
      <c r="DT3">
        <v>1.452</v>
      </c>
      <c r="DU3">
        <v>1.827</v>
      </c>
      <c r="DV3">
        <v>1.857</v>
      </c>
      <c r="DW3">
        <v>1.494</v>
      </c>
      <c r="DX3">
        <v>0.78300000000000003</v>
      </c>
      <c r="DY3">
        <v>0.17</v>
      </c>
      <c r="DZ3">
        <v>-0.46500000000000002</v>
      </c>
      <c r="EA3">
        <v>-0.70699999999999996</v>
      </c>
      <c r="EB3">
        <v>-0.79800000000000004</v>
      </c>
      <c r="EC3">
        <v>-0.377</v>
      </c>
      <c r="ED3">
        <v>-9.7000000000000003E-2</v>
      </c>
      <c r="EE3">
        <v>0.36199999999999999</v>
      </c>
      <c r="EG3" s="25">
        <v>2000</v>
      </c>
      <c r="EH3">
        <v>-0.82</v>
      </c>
      <c r="EI3">
        <v>1.1200000000000001</v>
      </c>
      <c r="EJ3">
        <v>1.28</v>
      </c>
      <c r="EK3">
        <v>-0.35</v>
      </c>
      <c r="EL3">
        <v>-0.28000000000000003</v>
      </c>
      <c r="EM3">
        <v>-1.22</v>
      </c>
      <c r="EN3">
        <v>-2.2799999999999998</v>
      </c>
      <c r="EO3">
        <v>-0.48</v>
      </c>
      <c r="EP3">
        <v>-1.4</v>
      </c>
      <c r="EQ3">
        <v>0.25</v>
      </c>
      <c r="ER3">
        <v>0.74</v>
      </c>
      <c r="ES3">
        <v>1.23</v>
      </c>
      <c r="EU3" s="25">
        <v>2000</v>
      </c>
      <c r="EV3">
        <v>3.59</v>
      </c>
      <c r="EW3">
        <v>2.3199999999999998</v>
      </c>
      <c r="EX3">
        <v>0.74</v>
      </c>
      <c r="EY3">
        <v>0.97</v>
      </c>
      <c r="EZ3">
        <v>1.9</v>
      </c>
      <c r="FA3">
        <v>-0.31</v>
      </c>
      <c r="FB3">
        <v>0.52</v>
      </c>
      <c r="FC3">
        <v>-1.22</v>
      </c>
      <c r="FD3">
        <v>-3.2</v>
      </c>
      <c r="FE3">
        <v>1.21</v>
      </c>
      <c r="FF3">
        <v>-1.32</v>
      </c>
      <c r="FG3">
        <v>-2.0499999999999998</v>
      </c>
      <c r="FI3" s="25">
        <v>2000</v>
      </c>
      <c r="FJ3">
        <v>0.6</v>
      </c>
      <c r="FK3">
        <v>1.7</v>
      </c>
      <c r="FL3">
        <v>0.77</v>
      </c>
      <c r="FM3">
        <v>-0.03</v>
      </c>
      <c r="FN3">
        <v>1.58</v>
      </c>
      <c r="FO3">
        <v>-0.03</v>
      </c>
      <c r="FP3">
        <v>-1.03</v>
      </c>
      <c r="FQ3">
        <v>-0.28999999999999998</v>
      </c>
      <c r="FR3">
        <v>-0.21</v>
      </c>
      <c r="FS3">
        <v>0.92</v>
      </c>
      <c r="FT3">
        <v>-0.92</v>
      </c>
      <c r="FU3">
        <v>-0.57999999999999996</v>
      </c>
    </row>
    <row r="4" spans="1:304" ht="15" thickBot="1">
      <c r="A4" s="20">
        <v>38961</v>
      </c>
      <c r="B4" s="3">
        <v>9.3125</v>
      </c>
      <c r="C4" s="3">
        <v>8.2604166666666661</v>
      </c>
      <c r="D4" s="3">
        <v>6.2837499999999986</v>
      </c>
      <c r="E4" s="3">
        <v>4.3597222222222225</v>
      </c>
      <c r="F4" s="3">
        <v>3.0184722222222229</v>
      </c>
      <c r="G4" s="3">
        <v>3.05</v>
      </c>
      <c r="H4" s="6">
        <f t="shared" ref="H4:H67" si="0">INTERCEPT($C$2:$F$2,C4:F4)</f>
        <v>4878.041136123421</v>
      </c>
      <c r="I4" s="6">
        <f t="shared" ref="I4:I67" si="1">-SLOPE(C4:F4,$C$2:$F$2)*1000</f>
        <v>8.5683930695818002</v>
      </c>
      <c r="J4" s="3">
        <v>2.1956944444444466</v>
      </c>
      <c r="K4" s="3">
        <v>1.2524999999999986</v>
      </c>
      <c r="L4" s="3">
        <v>0.12472222222222226</v>
      </c>
      <c r="M4" s="3">
        <v>-1.0937500000000007</v>
      </c>
      <c r="N4" s="3">
        <v>-1.7375000000000007</v>
      </c>
      <c r="O4" s="3">
        <v>-1.7961111111111114</v>
      </c>
      <c r="P4" s="3">
        <v>65.77722222222215</v>
      </c>
      <c r="Q4" s="3">
        <v>64.366944444444343</v>
      </c>
      <c r="R4" s="3">
        <v>67.62902777777775</v>
      </c>
      <c r="S4" s="3">
        <v>69.685277777777628</v>
      </c>
      <c r="T4" s="3">
        <v>72.223888888888851</v>
      </c>
      <c r="U4" s="3">
        <v>72.856944444444409</v>
      </c>
      <c r="V4" s="3"/>
      <c r="W4" s="3"/>
      <c r="X4" s="3"/>
      <c r="Y4" s="3"/>
      <c r="Z4" s="3"/>
      <c r="AA4" s="3"/>
      <c r="AB4" s="3"/>
      <c r="AC4" s="3">
        <v>2.4666666666666668</v>
      </c>
      <c r="AD4" s="3">
        <v>3.3</v>
      </c>
      <c r="AE4" s="3">
        <v>1.8166666666666667</v>
      </c>
      <c r="AF4" s="3">
        <v>0.71666666666666667</v>
      </c>
      <c r="AG4" s="3">
        <v>-0.40333333333333332</v>
      </c>
      <c r="AH4" s="3">
        <v>-0.85</v>
      </c>
      <c r="AI4" s="6">
        <f t="shared" ref="AI4:AI67" si="2">INTERCEPT($C$2:$F$2,AD4:AG4)</f>
        <v>4473.477203062791</v>
      </c>
      <c r="AJ4" s="6">
        <f t="shared" ref="AJ4:AJ67" si="3">-SLOPE(AD4:AG4,$C$2:$F$2)*1000</f>
        <v>5.9137777608882205</v>
      </c>
      <c r="AK4" s="3">
        <v>0.3033333333333334</v>
      </c>
      <c r="AL4" s="3">
        <v>-0.66666666666666674</v>
      </c>
      <c r="AM4" s="3">
        <v>-1.6733333333333333</v>
      </c>
      <c r="AN4" s="3">
        <v>-3.0066666666666668</v>
      </c>
      <c r="AO4" s="3">
        <v>-4.5166666666666666</v>
      </c>
      <c r="AP4" s="3">
        <v>-4.5166666666666666</v>
      </c>
      <c r="AQ4" s="3">
        <v>30.586666666666659</v>
      </c>
      <c r="AR4" s="3">
        <v>36.013333333333335</v>
      </c>
      <c r="AS4" s="3">
        <v>38.99</v>
      </c>
      <c r="AT4" s="3">
        <v>46.626666666666665</v>
      </c>
      <c r="AU4" s="3">
        <v>51.626666666666672</v>
      </c>
      <c r="AV4" s="3">
        <v>49.016666666666666</v>
      </c>
      <c r="AW4" s="21"/>
      <c r="AX4" s="21"/>
      <c r="AY4" s="20">
        <v>38961</v>
      </c>
      <c r="AZ4" s="21">
        <v>4878.041136123421</v>
      </c>
      <c r="BA4" s="26">
        <v>0.54</v>
      </c>
      <c r="BB4" s="26">
        <v>0.54</v>
      </c>
      <c r="BC4" s="23">
        <v>-1</v>
      </c>
      <c r="BD4">
        <v>29.4</v>
      </c>
      <c r="BE4">
        <v>27.32</v>
      </c>
      <c r="BF4">
        <v>21.7</v>
      </c>
      <c r="BG4" s="9"/>
      <c r="BH4" s="9"/>
      <c r="BI4" s="9"/>
      <c r="BJ4" s="9"/>
      <c r="BO4" s="10">
        <v>2001</v>
      </c>
      <c r="BP4" s="24">
        <v>-0.7</v>
      </c>
      <c r="BQ4" s="24">
        <v>-0.5</v>
      </c>
      <c r="BR4" s="27">
        <v>-0.4</v>
      </c>
      <c r="BS4" s="27">
        <v>-0.3</v>
      </c>
      <c r="BT4" s="27">
        <v>-0.3</v>
      </c>
      <c r="BU4" s="27">
        <v>-0.1</v>
      </c>
      <c r="BV4" s="27">
        <v>-0.1</v>
      </c>
      <c r="BW4" s="27">
        <v>-0.1</v>
      </c>
      <c r="BX4" s="27">
        <v>-0.2</v>
      </c>
      <c r="BY4" s="27">
        <v>-0.3</v>
      </c>
      <c r="BZ4" s="27">
        <v>-0.3</v>
      </c>
      <c r="CA4" s="27">
        <v>-0.3</v>
      </c>
      <c r="CC4">
        <v>2001</v>
      </c>
      <c r="CD4">
        <v>27.43</v>
      </c>
      <c r="CE4">
        <v>27.37</v>
      </c>
      <c r="CF4">
        <v>27.61</v>
      </c>
      <c r="CG4">
        <v>28.04</v>
      </c>
      <c r="CH4">
        <v>28.53</v>
      </c>
      <c r="CI4">
        <v>28.79</v>
      </c>
      <c r="CJ4">
        <v>28.98</v>
      </c>
      <c r="CK4">
        <v>28.84</v>
      </c>
      <c r="CL4">
        <v>28.97</v>
      </c>
      <c r="CM4">
        <v>28.95</v>
      </c>
      <c r="CN4">
        <v>28.78</v>
      </c>
      <c r="CO4">
        <v>28.66</v>
      </c>
      <c r="CQ4">
        <v>2001</v>
      </c>
      <c r="CR4">
        <v>23.94</v>
      </c>
      <c r="CS4">
        <v>25.62</v>
      </c>
      <c r="CT4">
        <v>26.66</v>
      </c>
      <c r="CU4">
        <v>25.72</v>
      </c>
      <c r="CV4">
        <v>23.71</v>
      </c>
      <c r="CW4">
        <v>22.28</v>
      </c>
      <c r="CX4">
        <v>21.38</v>
      </c>
      <c r="CY4">
        <v>20.16</v>
      </c>
      <c r="CZ4">
        <v>19.600000000000001</v>
      </c>
      <c r="DA4">
        <v>19.88</v>
      </c>
      <c r="DB4">
        <v>20.77</v>
      </c>
      <c r="DC4">
        <v>21.79</v>
      </c>
      <c r="DE4">
        <v>2001</v>
      </c>
      <c r="DF4">
        <v>25.81</v>
      </c>
      <c r="DG4">
        <v>26.12</v>
      </c>
      <c r="DH4">
        <v>26.8</v>
      </c>
      <c r="DI4">
        <v>27.33</v>
      </c>
      <c r="DJ4">
        <v>27.6</v>
      </c>
      <c r="DK4">
        <v>27.54</v>
      </c>
      <c r="DL4">
        <v>27.25</v>
      </c>
      <c r="DM4">
        <v>26.8</v>
      </c>
      <c r="DN4">
        <v>26.52</v>
      </c>
      <c r="DO4">
        <v>26.57</v>
      </c>
      <c r="DP4">
        <v>26.33</v>
      </c>
      <c r="DQ4">
        <v>26.19</v>
      </c>
      <c r="DS4">
        <v>2001</v>
      </c>
      <c r="DT4">
        <v>0.78500000000000003</v>
      </c>
      <c r="DU4">
        <v>1.25</v>
      </c>
      <c r="DV4">
        <v>0.85299999999999998</v>
      </c>
      <c r="DW4">
        <v>0.23899999999999999</v>
      </c>
      <c r="DX4">
        <v>-0.56799999999999995</v>
      </c>
      <c r="DY4">
        <v>-1.504</v>
      </c>
      <c r="DZ4">
        <v>-2.452</v>
      </c>
      <c r="EA4">
        <v>-2.8460000000000001</v>
      </c>
      <c r="EB4">
        <v>-2.8580000000000001</v>
      </c>
      <c r="EC4">
        <v>-2.637</v>
      </c>
      <c r="ED4">
        <v>-2.6739999999999999</v>
      </c>
      <c r="EE4">
        <v>-2.37</v>
      </c>
      <c r="EG4" s="25">
        <v>2001</v>
      </c>
      <c r="EH4">
        <v>1.51</v>
      </c>
      <c r="EI4">
        <v>-0.16</v>
      </c>
      <c r="EJ4">
        <v>0.7</v>
      </c>
      <c r="EK4">
        <v>-0.47</v>
      </c>
      <c r="EL4">
        <v>-0.11</v>
      </c>
      <c r="EM4">
        <v>-0.94</v>
      </c>
      <c r="EN4">
        <v>0.06</v>
      </c>
      <c r="EO4">
        <v>-0.11</v>
      </c>
      <c r="EP4">
        <v>0.1</v>
      </c>
      <c r="EQ4">
        <v>-0.22</v>
      </c>
      <c r="ER4">
        <v>1.0900000000000001</v>
      </c>
      <c r="ES4">
        <v>0.56000000000000005</v>
      </c>
      <c r="EU4" s="25">
        <v>2001</v>
      </c>
      <c r="EV4">
        <v>1.43</v>
      </c>
      <c r="EW4">
        <v>-2.7</v>
      </c>
      <c r="EX4">
        <v>-0.56999999999999995</v>
      </c>
      <c r="EY4">
        <v>3.49</v>
      </c>
      <c r="EZ4">
        <v>-1.75</v>
      </c>
      <c r="FA4">
        <v>-0.02</v>
      </c>
      <c r="FB4">
        <v>0.2</v>
      </c>
      <c r="FC4">
        <v>-0.15</v>
      </c>
      <c r="FD4">
        <v>1.46</v>
      </c>
      <c r="FE4">
        <v>1.36</v>
      </c>
      <c r="FF4">
        <v>2.54</v>
      </c>
      <c r="FG4">
        <v>1.1599999999999999</v>
      </c>
      <c r="FI4" s="25">
        <v>2001</v>
      </c>
      <c r="FJ4">
        <v>0.25</v>
      </c>
      <c r="FK4">
        <v>0.45</v>
      </c>
      <c r="FL4">
        <v>-1.26</v>
      </c>
      <c r="FM4">
        <v>0</v>
      </c>
      <c r="FN4">
        <v>-0.02</v>
      </c>
      <c r="FO4">
        <v>-0.2</v>
      </c>
      <c r="FP4">
        <v>-0.25</v>
      </c>
      <c r="FQ4">
        <v>-7.0000000000000007E-2</v>
      </c>
      <c r="FR4">
        <v>-0.65</v>
      </c>
      <c r="FS4">
        <v>-0.24</v>
      </c>
      <c r="FT4">
        <v>0.63</v>
      </c>
      <c r="FU4">
        <v>-0.83</v>
      </c>
    </row>
    <row r="5" spans="1:304" ht="15" thickBot="1">
      <c r="A5" s="20">
        <v>38991</v>
      </c>
      <c r="B5" s="3">
        <v>8.800403225806452</v>
      </c>
      <c r="C5" s="3">
        <v>7.89247311827957</v>
      </c>
      <c r="D5" s="3">
        <v>6.1090053763440855</v>
      </c>
      <c r="E5" s="3">
        <v>4.342069892473118</v>
      </c>
      <c r="F5" s="3">
        <v>3.1442204301075285</v>
      </c>
      <c r="G5" s="3">
        <v>3.4731182795698925</v>
      </c>
      <c r="H5" s="6">
        <f t="shared" si="0"/>
        <v>4928.5014155801582</v>
      </c>
      <c r="I5" s="6">
        <f t="shared" si="1"/>
        <v>7.774304564869019</v>
      </c>
      <c r="J5" s="3">
        <v>2.2020161290322582</v>
      </c>
      <c r="K5" s="3">
        <v>1.5142473118279585</v>
      </c>
      <c r="L5" s="3">
        <v>0.28185483870967704</v>
      </c>
      <c r="M5" s="3">
        <v>-1.1547043010752689</v>
      </c>
      <c r="N5" s="3">
        <v>-1.4420698924731215</v>
      </c>
      <c r="O5" s="3">
        <v>-1.5931451612903265</v>
      </c>
      <c r="P5" s="3">
        <v>68.433198924731172</v>
      </c>
      <c r="Q5" s="3">
        <v>67.725806451612854</v>
      </c>
      <c r="R5" s="3">
        <v>69.800268817204298</v>
      </c>
      <c r="S5" s="3">
        <v>70.773924731182717</v>
      </c>
      <c r="T5" s="3">
        <v>74.243548387096681</v>
      </c>
      <c r="U5" s="3">
        <v>73.86720430107529</v>
      </c>
      <c r="V5" s="3"/>
      <c r="W5" s="3"/>
      <c r="X5" s="3"/>
      <c r="Y5" s="3"/>
      <c r="Z5" s="3"/>
      <c r="AA5" s="3"/>
      <c r="AB5" s="3"/>
      <c r="AC5" s="3">
        <v>2.9838709677419355</v>
      </c>
      <c r="AD5" s="3">
        <v>3.596774193548387</v>
      </c>
      <c r="AE5" s="3">
        <v>1.8387096774193548</v>
      </c>
      <c r="AF5" s="3">
        <v>0.80645161290322576</v>
      </c>
      <c r="AG5" s="3">
        <v>-0.38064516129032261</v>
      </c>
      <c r="AH5" s="3">
        <v>-0.29032258064516131</v>
      </c>
      <c r="AI5" s="6">
        <f t="shared" si="2"/>
        <v>4474.5663902814622</v>
      </c>
      <c r="AJ5" s="6">
        <f t="shared" si="3"/>
        <v>6.2607626227042417</v>
      </c>
      <c r="AK5" s="3">
        <v>-0.32903225806451625</v>
      </c>
      <c r="AL5" s="3">
        <v>-0.68064516129032282</v>
      </c>
      <c r="AM5" s="3">
        <v>-2.1322580645161286</v>
      </c>
      <c r="AN5" s="3">
        <v>-3.7064516129032254</v>
      </c>
      <c r="AO5" s="3">
        <v>-4.5709677419354833</v>
      </c>
      <c r="AP5" s="3">
        <v>-4.5709677419354833</v>
      </c>
      <c r="AQ5" s="3">
        <v>37.251612903225805</v>
      </c>
      <c r="AR5" s="3">
        <v>45.554838709677426</v>
      </c>
      <c r="AS5" s="3">
        <v>46.970967741935496</v>
      </c>
      <c r="AT5" s="3">
        <v>53.487096774193553</v>
      </c>
      <c r="AU5" s="3">
        <v>57.296774193548394</v>
      </c>
      <c r="AV5" s="3">
        <v>53.62580645161291</v>
      </c>
      <c r="AW5" s="21"/>
      <c r="AX5" s="21"/>
      <c r="AY5" s="20">
        <v>38991</v>
      </c>
      <c r="AZ5" s="21">
        <v>4928.5014155801582</v>
      </c>
      <c r="BA5" s="26">
        <v>0.77</v>
      </c>
      <c r="BB5" s="26">
        <v>0.77</v>
      </c>
      <c r="BC5" s="23">
        <v>-2.1</v>
      </c>
      <c r="BD5">
        <v>29.45</v>
      </c>
      <c r="BE5">
        <v>27.41</v>
      </c>
      <c r="BF5">
        <v>22.07</v>
      </c>
      <c r="BG5" s="9"/>
      <c r="BH5" s="9"/>
      <c r="BI5" s="9"/>
      <c r="BJ5" s="9"/>
      <c r="BO5" s="10">
        <v>2002</v>
      </c>
      <c r="BP5" s="27">
        <v>-0.1</v>
      </c>
      <c r="BQ5" s="27">
        <v>0</v>
      </c>
      <c r="BR5" s="27">
        <v>0.1</v>
      </c>
      <c r="BS5" s="27">
        <v>0.2</v>
      </c>
      <c r="BT5" s="27">
        <v>0.4</v>
      </c>
      <c r="BU5" s="28">
        <v>0.7</v>
      </c>
      <c r="BV5" s="28">
        <v>0.8</v>
      </c>
      <c r="BW5" s="28">
        <v>0.9</v>
      </c>
      <c r="BX5" s="28">
        <v>1</v>
      </c>
      <c r="BY5" s="28">
        <v>1.2</v>
      </c>
      <c r="BZ5" s="28">
        <v>1.3</v>
      </c>
      <c r="CA5" s="28">
        <v>1.1000000000000001</v>
      </c>
      <c r="CC5">
        <v>2002</v>
      </c>
      <c r="CD5">
        <v>28.72</v>
      </c>
      <c r="CE5">
        <v>28.66</v>
      </c>
      <c r="CF5">
        <v>28.57</v>
      </c>
      <c r="CG5">
        <v>29.03</v>
      </c>
      <c r="CH5">
        <v>29.52</v>
      </c>
      <c r="CI5">
        <v>29.61</v>
      </c>
      <c r="CJ5">
        <v>29.52</v>
      </c>
      <c r="CK5">
        <v>29.43</v>
      </c>
      <c r="CL5">
        <v>29.37</v>
      </c>
      <c r="CM5">
        <v>29.41</v>
      </c>
      <c r="CN5">
        <v>29.55</v>
      </c>
      <c r="CO5">
        <v>29.38</v>
      </c>
      <c r="CQ5">
        <v>2002</v>
      </c>
      <c r="CR5">
        <v>23.79</v>
      </c>
      <c r="CS5">
        <v>26.03</v>
      </c>
      <c r="CT5">
        <v>27.25</v>
      </c>
      <c r="CU5">
        <v>26.35</v>
      </c>
      <c r="CV5">
        <v>25.04</v>
      </c>
      <c r="CW5">
        <v>23.51</v>
      </c>
      <c r="CX5">
        <v>21.72</v>
      </c>
      <c r="CY5">
        <v>20.74</v>
      </c>
      <c r="CZ5">
        <v>20.93</v>
      </c>
      <c r="DA5">
        <v>21.39</v>
      </c>
      <c r="DB5">
        <v>22.63</v>
      </c>
      <c r="DC5">
        <v>23.91</v>
      </c>
      <c r="DE5">
        <v>2002</v>
      </c>
      <c r="DF5">
        <v>26.39</v>
      </c>
      <c r="DG5">
        <v>26.71</v>
      </c>
      <c r="DH5">
        <v>27.29</v>
      </c>
      <c r="DI5">
        <v>27.84</v>
      </c>
      <c r="DJ5">
        <v>28.24</v>
      </c>
      <c r="DK5">
        <v>28.44</v>
      </c>
      <c r="DL5">
        <v>28.03</v>
      </c>
      <c r="DM5">
        <v>27.72</v>
      </c>
      <c r="DN5">
        <v>27.81</v>
      </c>
      <c r="DO5">
        <v>27.96</v>
      </c>
      <c r="DP5">
        <v>28.17</v>
      </c>
      <c r="DQ5">
        <v>27.97</v>
      </c>
      <c r="DS5">
        <v>2002</v>
      </c>
      <c r="DT5">
        <v>-1.78</v>
      </c>
      <c r="DU5">
        <v>-1.343</v>
      </c>
      <c r="DV5">
        <v>-1.2869999999999999</v>
      </c>
      <c r="DW5">
        <v>-1.3260000000000001</v>
      </c>
      <c r="DX5">
        <v>-1.663</v>
      </c>
      <c r="DY5">
        <v>-2.335</v>
      </c>
      <c r="DZ5">
        <v>-2.871</v>
      </c>
      <c r="EA5">
        <v>-3.0009999999999999</v>
      </c>
      <c r="EB5">
        <v>-2.8780000000000001</v>
      </c>
      <c r="EC5">
        <v>-2.5459999999999998</v>
      </c>
      <c r="ED5">
        <v>-2.4129999999999998</v>
      </c>
      <c r="EE5">
        <v>-2.3109999999999999</v>
      </c>
      <c r="EG5" s="25">
        <v>2002</v>
      </c>
      <c r="EH5">
        <v>-0.04</v>
      </c>
      <c r="EI5">
        <v>0.14000000000000001</v>
      </c>
      <c r="EJ5">
        <v>-1.3</v>
      </c>
      <c r="EK5">
        <v>-2.2200000000000002</v>
      </c>
      <c r="EL5">
        <v>-0.73</v>
      </c>
      <c r="EM5">
        <v>-0.05</v>
      </c>
      <c r="EN5">
        <v>0.88</v>
      </c>
      <c r="EO5">
        <v>0.64</v>
      </c>
      <c r="EP5">
        <v>0.77</v>
      </c>
      <c r="EQ5">
        <v>-0.65</v>
      </c>
      <c r="ER5">
        <v>1.54</v>
      </c>
      <c r="ES5">
        <v>1.59</v>
      </c>
      <c r="EU5" s="25">
        <v>2002</v>
      </c>
      <c r="EV5">
        <v>2.2200000000000002</v>
      </c>
      <c r="EW5">
        <v>2.8</v>
      </c>
      <c r="EX5">
        <v>-4.42</v>
      </c>
      <c r="EY5">
        <v>1.6</v>
      </c>
      <c r="EZ5">
        <v>-1.69</v>
      </c>
      <c r="FA5">
        <v>-0.43</v>
      </c>
      <c r="FB5">
        <v>-0.67</v>
      </c>
      <c r="FC5">
        <v>1.1399999999999999</v>
      </c>
      <c r="FD5">
        <v>-2.1800000000000002</v>
      </c>
      <c r="FE5">
        <v>-5.77</v>
      </c>
      <c r="FF5">
        <v>0.03</v>
      </c>
      <c r="FG5">
        <v>1.29</v>
      </c>
      <c r="FI5" s="25">
        <v>2002</v>
      </c>
      <c r="FJ5">
        <v>0.44</v>
      </c>
      <c r="FK5">
        <v>1.1000000000000001</v>
      </c>
      <c r="FL5">
        <v>0.69</v>
      </c>
      <c r="FM5">
        <v>1.18</v>
      </c>
      <c r="FN5">
        <v>-0.22</v>
      </c>
      <c r="FO5">
        <v>0.38</v>
      </c>
      <c r="FP5">
        <v>0.62</v>
      </c>
      <c r="FQ5">
        <v>0.38</v>
      </c>
      <c r="FR5">
        <v>-0.7</v>
      </c>
      <c r="FS5">
        <v>-2.2799999999999998</v>
      </c>
      <c r="FT5">
        <v>-0.18</v>
      </c>
      <c r="FU5">
        <v>-0.94</v>
      </c>
    </row>
    <row r="6" spans="1:304" ht="15" thickBot="1">
      <c r="A6" s="20">
        <v>39022</v>
      </c>
      <c r="B6" s="3">
        <v>8.6833333333333336</v>
      </c>
      <c r="C6" s="3">
        <v>7.6895833333333332</v>
      </c>
      <c r="D6" s="3">
        <v>5.9034722222222209</v>
      </c>
      <c r="E6" s="3">
        <v>4</v>
      </c>
      <c r="F6" s="3">
        <v>2.8047222222222223</v>
      </c>
      <c r="G6" s="3">
        <v>2.7881944444444446</v>
      </c>
      <c r="H6" s="6">
        <f t="shared" si="0"/>
        <v>4872.5567859074399</v>
      </c>
      <c r="I6" s="6">
        <f t="shared" si="1"/>
        <v>8.0459252098791225</v>
      </c>
      <c r="J6" s="3">
        <v>3.8234722222222173</v>
      </c>
      <c r="K6" s="3">
        <v>3.1105555555555577</v>
      </c>
      <c r="L6" s="3">
        <v>1.7638888888888871</v>
      </c>
      <c r="M6" s="3">
        <v>0.11805555555555541</v>
      </c>
      <c r="N6" s="3">
        <v>-5.5972222222221549E-2</v>
      </c>
      <c r="O6" s="3">
        <v>-0.26638888888888801</v>
      </c>
      <c r="P6" s="3">
        <v>74.985833333333417</v>
      </c>
      <c r="Q6" s="3">
        <v>75.360972222222145</v>
      </c>
      <c r="R6" s="3">
        <v>77.230138888888817</v>
      </c>
      <c r="S6" s="3">
        <v>78.179999999999893</v>
      </c>
      <c r="T6" s="3">
        <v>82.027222222222107</v>
      </c>
      <c r="U6" s="3">
        <v>83.067361111111126</v>
      </c>
      <c r="V6" s="3"/>
      <c r="W6" s="3"/>
      <c r="X6" s="3"/>
      <c r="Y6" s="3"/>
      <c r="Z6" s="3"/>
      <c r="AA6" s="3"/>
      <c r="AB6" s="3"/>
      <c r="AC6" s="3">
        <v>3.9166666666666665</v>
      </c>
      <c r="AD6" s="3">
        <v>4.0166666666666666</v>
      </c>
      <c r="AE6" s="3">
        <v>2.3666666666666667</v>
      </c>
      <c r="AF6" s="3">
        <v>0.93333333333333335</v>
      </c>
      <c r="AG6" s="3">
        <v>-0.12999999999999998</v>
      </c>
      <c r="AH6" s="3">
        <v>-0.35</v>
      </c>
      <c r="AI6" s="6">
        <f t="shared" si="2"/>
        <v>4509.9462711193391</v>
      </c>
      <c r="AJ6" s="6">
        <f t="shared" si="3"/>
        <v>6.7252048122567505</v>
      </c>
      <c r="AK6" s="3">
        <v>1.4233333333333331</v>
      </c>
      <c r="AL6" s="3">
        <v>1.0833333333333335</v>
      </c>
      <c r="AM6" s="3">
        <v>-0.49000000000000016</v>
      </c>
      <c r="AN6" s="3">
        <v>-2.2700000000000005</v>
      </c>
      <c r="AO6" s="3">
        <v>-3.2333333333333329</v>
      </c>
      <c r="AP6" s="3">
        <v>-3.2333333333333329</v>
      </c>
      <c r="AQ6" s="3">
        <v>45.210000000000008</v>
      </c>
      <c r="AR6" s="3">
        <v>52.05</v>
      </c>
      <c r="AS6" s="3">
        <v>55.340000000000018</v>
      </c>
      <c r="AT6" s="3">
        <v>61.506666666666668</v>
      </c>
      <c r="AU6" s="3">
        <v>66.000000000000014</v>
      </c>
      <c r="AV6" s="3">
        <v>64.816666666666663</v>
      </c>
      <c r="AW6" s="21"/>
      <c r="AX6" s="21"/>
      <c r="AY6" s="20">
        <v>39022</v>
      </c>
      <c r="AZ6" s="21">
        <v>4872.5567859074399</v>
      </c>
      <c r="BA6" s="26">
        <v>0.94</v>
      </c>
      <c r="BB6" s="26">
        <v>0.94</v>
      </c>
      <c r="BC6" s="23">
        <v>0.1</v>
      </c>
      <c r="BD6">
        <v>29.62</v>
      </c>
      <c r="BE6">
        <v>27.69</v>
      </c>
      <c r="BF6">
        <v>22.45</v>
      </c>
      <c r="BG6" s="9"/>
      <c r="BH6" s="9"/>
      <c r="BI6" s="9"/>
      <c r="BJ6" s="9"/>
      <c r="BO6" s="10">
        <v>2003</v>
      </c>
      <c r="BP6" s="28">
        <v>0.9</v>
      </c>
      <c r="BQ6" s="28">
        <v>0.6</v>
      </c>
      <c r="BR6" s="27">
        <v>0.4</v>
      </c>
      <c r="BS6" s="27">
        <v>0</v>
      </c>
      <c r="BT6" s="27">
        <v>-0.3</v>
      </c>
      <c r="BU6" s="27">
        <v>-0.2</v>
      </c>
      <c r="BV6" s="27">
        <v>0.1</v>
      </c>
      <c r="BW6" s="27">
        <v>0.2</v>
      </c>
      <c r="BX6" s="27">
        <v>0.3</v>
      </c>
      <c r="BY6" s="27">
        <v>0.3</v>
      </c>
      <c r="BZ6" s="27">
        <v>0.4</v>
      </c>
      <c r="CA6" s="27">
        <v>0.4</v>
      </c>
      <c r="CC6">
        <v>2003</v>
      </c>
      <c r="CD6">
        <v>28.89</v>
      </c>
      <c r="CE6">
        <v>28.88</v>
      </c>
      <c r="CF6">
        <v>28.92</v>
      </c>
      <c r="CG6">
        <v>28.96</v>
      </c>
      <c r="CH6">
        <v>28.86</v>
      </c>
      <c r="CI6">
        <v>29.07</v>
      </c>
      <c r="CJ6">
        <v>29.08</v>
      </c>
      <c r="CK6">
        <v>28.98</v>
      </c>
      <c r="CL6">
        <v>28.94</v>
      </c>
      <c r="CM6">
        <v>29.12</v>
      </c>
      <c r="CN6">
        <v>29.07</v>
      </c>
      <c r="CO6">
        <v>28.97</v>
      </c>
      <c r="CQ6">
        <v>2003</v>
      </c>
      <c r="CR6">
        <v>24.69</v>
      </c>
      <c r="CS6">
        <v>25.98</v>
      </c>
      <c r="CT6">
        <v>26.42</v>
      </c>
      <c r="CU6">
        <v>24.98</v>
      </c>
      <c r="CV6">
        <v>22.77</v>
      </c>
      <c r="CW6">
        <v>21.77</v>
      </c>
      <c r="CX6">
        <v>20.95</v>
      </c>
      <c r="CY6">
        <v>21.02</v>
      </c>
      <c r="CZ6">
        <v>20.28</v>
      </c>
      <c r="DA6">
        <v>21.25</v>
      </c>
      <c r="DB6">
        <v>21.94</v>
      </c>
      <c r="DC6">
        <v>23.03</v>
      </c>
      <c r="DE6">
        <v>2003</v>
      </c>
      <c r="DF6">
        <v>27.15</v>
      </c>
      <c r="DG6">
        <v>27.39</v>
      </c>
      <c r="DH6">
        <v>27.65</v>
      </c>
      <c r="DI6">
        <v>27.68</v>
      </c>
      <c r="DJ6">
        <v>27.32</v>
      </c>
      <c r="DK6">
        <v>27.44</v>
      </c>
      <c r="DL6">
        <v>27.5</v>
      </c>
      <c r="DM6">
        <v>27.11</v>
      </c>
      <c r="DN6">
        <v>26.99</v>
      </c>
      <c r="DO6">
        <v>27.14</v>
      </c>
      <c r="DP6">
        <v>27.04</v>
      </c>
      <c r="DQ6">
        <v>27.03</v>
      </c>
      <c r="DS6">
        <v>2003</v>
      </c>
      <c r="DT6">
        <v>-2.5230000000000001</v>
      </c>
      <c r="DU6">
        <v>-2.6440000000000001</v>
      </c>
      <c r="DV6">
        <v>-2.91</v>
      </c>
      <c r="DW6">
        <v>-2.9950000000000001</v>
      </c>
      <c r="DX6">
        <v>-3.04</v>
      </c>
      <c r="DY6">
        <v>-2.895</v>
      </c>
      <c r="DZ6">
        <v>-2.7229999999999999</v>
      </c>
      <c r="EA6">
        <v>-2.4119999999999999</v>
      </c>
      <c r="EB6">
        <v>-2.0819999999999999</v>
      </c>
      <c r="EC6">
        <v>-1.738</v>
      </c>
      <c r="ED6">
        <v>-1.5960000000000001</v>
      </c>
      <c r="EE6">
        <v>-1.522</v>
      </c>
      <c r="EG6" s="25">
        <v>2003</v>
      </c>
      <c r="EH6">
        <v>1.29</v>
      </c>
      <c r="EI6">
        <v>0.73</v>
      </c>
      <c r="EJ6">
        <v>-7.0000000000000007E-2</v>
      </c>
      <c r="EK6">
        <v>0.14000000000000001</v>
      </c>
      <c r="EL6">
        <v>-2.2000000000000002</v>
      </c>
      <c r="EM6">
        <v>-0.6</v>
      </c>
      <c r="EN6">
        <v>1.23</v>
      </c>
      <c r="EO6">
        <v>-0.28000000000000003</v>
      </c>
      <c r="EP6">
        <v>0.76</v>
      </c>
      <c r="EQ6">
        <v>0.97</v>
      </c>
      <c r="ER6">
        <v>-1.72</v>
      </c>
      <c r="ES6">
        <v>0.86</v>
      </c>
      <c r="EU6" s="25">
        <v>2003</v>
      </c>
      <c r="EV6">
        <v>-0.52</v>
      </c>
      <c r="EW6">
        <v>-0.98</v>
      </c>
      <c r="EX6">
        <v>-7.0000000000000007E-2</v>
      </c>
      <c r="EY6">
        <v>2.21</v>
      </c>
      <c r="EZ6">
        <v>1.04</v>
      </c>
      <c r="FA6">
        <v>-2.52</v>
      </c>
      <c r="FB6">
        <v>1.2</v>
      </c>
      <c r="FC6">
        <v>2.33</v>
      </c>
      <c r="FD6">
        <v>-0.99</v>
      </c>
      <c r="FE6">
        <v>0.12</v>
      </c>
      <c r="FF6">
        <v>-0.15</v>
      </c>
      <c r="FG6">
        <v>-0.69</v>
      </c>
      <c r="FI6" s="25">
        <v>2003</v>
      </c>
      <c r="FJ6">
        <v>0.16</v>
      </c>
      <c r="FK6">
        <v>0.62</v>
      </c>
      <c r="FL6">
        <v>0.32</v>
      </c>
      <c r="FM6">
        <v>-0.18</v>
      </c>
      <c r="FN6">
        <v>0.01</v>
      </c>
      <c r="FO6">
        <v>-7.0000000000000007E-2</v>
      </c>
      <c r="FP6">
        <v>0.13</v>
      </c>
      <c r="FQ6">
        <v>-7.0000000000000007E-2</v>
      </c>
      <c r="FR6">
        <v>0.01</v>
      </c>
      <c r="FS6">
        <v>-1.26</v>
      </c>
      <c r="FT6">
        <v>0.86</v>
      </c>
      <c r="FU6">
        <v>0.64</v>
      </c>
    </row>
    <row r="7" spans="1:304" ht="15" thickBot="1">
      <c r="A7" s="20">
        <v>39052</v>
      </c>
      <c r="B7" s="3">
        <v>8.3521505376344081</v>
      </c>
      <c r="C7" s="3">
        <v>7.6875</v>
      </c>
      <c r="D7" s="3">
        <v>6.0482526881720409</v>
      </c>
      <c r="E7" s="3">
        <v>4.147849462365591</v>
      </c>
      <c r="F7" s="3">
        <v>3.0977150537634417</v>
      </c>
      <c r="G7" s="3">
        <v>3.002688172043011</v>
      </c>
      <c r="H7" s="6">
        <f t="shared" si="0"/>
        <v>4925.2000173357483</v>
      </c>
      <c r="I7" s="6">
        <f t="shared" si="1"/>
        <v>7.6203001618026258</v>
      </c>
      <c r="J7" s="3">
        <v>5.8518817204301099</v>
      </c>
      <c r="K7" s="3">
        <v>5.2080645161290358</v>
      </c>
      <c r="L7" s="3">
        <v>3.809005376344079</v>
      </c>
      <c r="M7" s="3">
        <v>2.1369623655913967</v>
      </c>
      <c r="N7" s="3">
        <v>1.9573924731182788</v>
      </c>
      <c r="O7" s="3">
        <v>1.7112903225806448</v>
      </c>
      <c r="P7" s="3">
        <v>85.625940860214996</v>
      </c>
      <c r="Q7" s="3">
        <v>85.204301075268774</v>
      </c>
      <c r="R7" s="3">
        <v>86.257795698924681</v>
      </c>
      <c r="S7" s="3">
        <v>87.274462365591233</v>
      </c>
      <c r="T7" s="3">
        <v>90.014247311827788</v>
      </c>
      <c r="U7" s="3">
        <v>91.619354838709697</v>
      </c>
      <c r="V7" s="3"/>
      <c r="W7" s="3"/>
      <c r="X7" s="3"/>
      <c r="Y7" s="3"/>
      <c r="Z7" s="3"/>
      <c r="AA7" s="3"/>
      <c r="AB7" s="3"/>
      <c r="AC7" s="3">
        <v>4.5483870967741939</v>
      </c>
      <c r="AD7" s="3">
        <v>4.741935483870968</v>
      </c>
      <c r="AE7" s="3">
        <v>3</v>
      </c>
      <c r="AF7" s="3">
        <v>1.5483870967741935</v>
      </c>
      <c r="AG7" s="3">
        <v>0.48709677419354835</v>
      </c>
      <c r="AH7" s="3">
        <v>0.33870967741935482</v>
      </c>
      <c r="AI7" s="6">
        <f t="shared" si="2"/>
        <v>4594.696627652077</v>
      </c>
      <c r="AJ7" s="6">
        <f t="shared" si="3"/>
        <v>6.8865155657519441</v>
      </c>
      <c r="AK7" s="3">
        <v>3.5483870967741931</v>
      </c>
      <c r="AL7" s="3">
        <v>3.3645161290322578</v>
      </c>
      <c r="AM7" s="3">
        <v>1.7161290322580651</v>
      </c>
      <c r="AN7" s="3">
        <v>0.20322580645161287</v>
      </c>
      <c r="AO7" s="3">
        <v>-0.65806451612903205</v>
      </c>
      <c r="AP7" s="3">
        <v>-0.65806451612903205</v>
      </c>
      <c r="AQ7" s="3">
        <v>60.712903225806436</v>
      </c>
      <c r="AR7" s="3">
        <v>65.8</v>
      </c>
      <c r="AS7" s="3">
        <v>67.729032258064507</v>
      </c>
      <c r="AT7" s="3">
        <v>73.009677419354844</v>
      </c>
      <c r="AU7" s="3">
        <v>76.116129032258058</v>
      </c>
      <c r="AV7" s="3">
        <v>73.309677419354841</v>
      </c>
      <c r="AW7" s="21"/>
      <c r="AX7" s="21"/>
      <c r="AY7" s="20">
        <v>39052</v>
      </c>
      <c r="AZ7" s="21">
        <v>4925.2000173357483</v>
      </c>
      <c r="BA7" s="26">
        <v>0.94</v>
      </c>
      <c r="BB7" s="26">
        <v>0.94</v>
      </c>
      <c r="BC7" s="23">
        <v>-0.5</v>
      </c>
      <c r="BD7">
        <v>29.46</v>
      </c>
      <c r="BE7">
        <v>27.74</v>
      </c>
      <c r="BF7">
        <v>23.52</v>
      </c>
      <c r="BG7" s="9"/>
      <c r="BH7" s="9"/>
      <c r="BI7" s="9"/>
      <c r="BJ7" s="9"/>
      <c r="BO7" s="10">
        <v>2004</v>
      </c>
      <c r="BP7" s="27">
        <v>0.4</v>
      </c>
      <c r="BQ7" s="27">
        <v>0.3</v>
      </c>
      <c r="BR7" s="27">
        <v>0.2</v>
      </c>
      <c r="BS7" s="27">
        <v>0.2</v>
      </c>
      <c r="BT7" s="27">
        <v>0.2</v>
      </c>
      <c r="BU7" s="27">
        <v>0.3</v>
      </c>
      <c r="BV7" s="28">
        <v>0.5</v>
      </c>
      <c r="BW7" s="28">
        <v>0.6</v>
      </c>
      <c r="BX7" s="28">
        <v>0.7</v>
      </c>
      <c r="BY7" s="28">
        <v>0.7</v>
      </c>
      <c r="BZ7" s="28">
        <v>0.7</v>
      </c>
      <c r="CA7" s="28">
        <v>0.7</v>
      </c>
      <c r="CC7">
        <v>2004</v>
      </c>
      <c r="CD7">
        <v>28.75</v>
      </c>
      <c r="CE7">
        <v>28.57</v>
      </c>
      <c r="CF7">
        <v>28.42</v>
      </c>
      <c r="CG7">
        <v>28.71</v>
      </c>
      <c r="CH7">
        <v>29.02</v>
      </c>
      <c r="CI7">
        <v>29.19</v>
      </c>
      <c r="CJ7">
        <v>29.32</v>
      </c>
      <c r="CK7">
        <v>29.34</v>
      </c>
      <c r="CL7">
        <v>29.45</v>
      </c>
      <c r="CM7">
        <v>29.46</v>
      </c>
      <c r="CN7">
        <v>29.45</v>
      </c>
      <c r="CO7">
        <v>29.41</v>
      </c>
      <c r="CQ7">
        <v>2004</v>
      </c>
      <c r="CR7">
        <v>24.36</v>
      </c>
      <c r="CS7">
        <v>26.03</v>
      </c>
      <c r="CT7">
        <v>25.75</v>
      </c>
      <c r="CU7">
        <v>24.96</v>
      </c>
      <c r="CV7">
        <v>22.82</v>
      </c>
      <c r="CW7">
        <v>22.05</v>
      </c>
      <c r="CX7">
        <v>21.18</v>
      </c>
      <c r="CY7">
        <v>20.260000000000002</v>
      </c>
      <c r="CZ7">
        <v>20.46</v>
      </c>
      <c r="DA7">
        <v>21.16</v>
      </c>
      <c r="DB7">
        <v>22.37</v>
      </c>
      <c r="DC7">
        <v>23.18</v>
      </c>
      <c r="DE7">
        <v>2004</v>
      </c>
      <c r="DF7">
        <v>26.81</v>
      </c>
      <c r="DG7">
        <v>26.98</v>
      </c>
      <c r="DH7">
        <v>27.4</v>
      </c>
      <c r="DI7">
        <v>27.89</v>
      </c>
      <c r="DJ7">
        <v>28</v>
      </c>
      <c r="DK7">
        <v>27.86</v>
      </c>
      <c r="DL7">
        <v>27.78</v>
      </c>
      <c r="DM7">
        <v>27.62</v>
      </c>
      <c r="DN7">
        <v>27.53</v>
      </c>
      <c r="DO7">
        <v>27.44</v>
      </c>
      <c r="DP7">
        <v>27.36</v>
      </c>
      <c r="DQ7">
        <v>27.34</v>
      </c>
      <c r="DS7">
        <v>2004</v>
      </c>
      <c r="DT7">
        <v>-1.6</v>
      </c>
      <c r="DU7">
        <v>-1.571</v>
      </c>
      <c r="DV7">
        <v>-1.913</v>
      </c>
      <c r="DW7">
        <v>-2.2719999999999998</v>
      </c>
      <c r="DX7">
        <v>-2.637</v>
      </c>
      <c r="DY7">
        <v>-2.9990000000000001</v>
      </c>
      <c r="DZ7">
        <v>-3.3759999999999999</v>
      </c>
      <c r="EA7">
        <v>-3.2530000000000001</v>
      </c>
      <c r="EB7">
        <v>-2.9929999999999999</v>
      </c>
      <c r="EC7">
        <v>-2.7309999999999999</v>
      </c>
      <c r="ED7">
        <v>-2.5049999999999999</v>
      </c>
      <c r="EE7">
        <v>-2.3929999999999998</v>
      </c>
      <c r="EG7" s="25">
        <v>2004</v>
      </c>
      <c r="EH7">
        <v>0.41</v>
      </c>
      <c r="EI7">
        <v>1.06</v>
      </c>
      <c r="EJ7">
        <v>0.3</v>
      </c>
      <c r="EK7">
        <v>0.51</v>
      </c>
      <c r="EL7">
        <v>-1.76</v>
      </c>
      <c r="EM7">
        <v>-0.37</v>
      </c>
      <c r="EN7">
        <v>0.09</v>
      </c>
      <c r="EO7">
        <v>1.55</v>
      </c>
      <c r="EP7">
        <v>-0.08</v>
      </c>
      <c r="EQ7">
        <v>-1.39</v>
      </c>
      <c r="ER7">
        <v>0.31</v>
      </c>
      <c r="ES7">
        <v>0.26</v>
      </c>
      <c r="EU7" s="25">
        <v>2004</v>
      </c>
      <c r="EV7">
        <v>2.56</v>
      </c>
      <c r="EW7">
        <v>-3.33</v>
      </c>
      <c r="EX7">
        <v>0.74</v>
      </c>
      <c r="EY7">
        <v>1.2</v>
      </c>
      <c r="EZ7">
        <v>-0.15</v>
      </c>
      <c r="FA7">
        <v>1.69</v>
      </c>
      <c r="FB7">
        <v>2.52</v>
      </c>
      <c r="FC7">
        <v>0</v>
      </c>
      <c r="FD7">
        <v>1.77</v>
      </c>
      <c r="FE7">
        <v>-0.59</v>
      </c>
      <c r="FF7">
        <v>-1.18</v>
      </c>
      <c r="FG7">
        <v>-1.02</v>
      </c>
      <c r="FI7" s="25">
        <v>2004</v>
      </c>
      <c r="FJ7">
        <v>-0.28999999999999998</v>
      </c>
      <c r="FK7">
        <v>-0.14000000000000001</v>
      </c>
      <c r="FL7">
        <v>1.02</v>
      </c>
      <c r="FM7">
        <v>1.1499999999999999</v>
      </c>
      <c r="FN7">
        <v>0.19</v>
      </c>
      <c r="FO7">
        <v>-0.89</v>
      </c>
      <c r="FP7">
        <v>1.1299999999999999</v>
      </c>
      <c r="FQ7">
        <v>-0.48</v>
      </c>
      <c r="FR7">
        <v>0.38</v>
      </c>
      <c r="FS7">
        <v>-1.1000000000000001</v>
      </c>
      <c r="FT7">
        <v>0.73</v>
      </c>
      <c r="FU7">
        <v>1.21</v>
      </c>
    </row>
    <row r="8" spans="1:304" ht="18" customHeight="1" thickBot="1">
      <c r="A8" s="20">
        <v>39083</v>
      </c>
      <c r="B8" s="3">
        <v>9.9173387096774199</v>
      </c>
      <c r="C8" s="3">
        <v>8.9186827956989241</v>
      </c>
      <c r="D8" s="3">
        <v>7.025268817204303</v>
      </c>
      <c r="E8" s="3">
        <v>5.163978494623656</v>
      </c>
      <c r="F8" s="3">
        <v>3.9431451612903219</v>
      </c>
      <c r="G8" s="3">
        <v>3.7271505376344085</v>
      </c>
      <c r="H8" s="6">
        <f t="shared" si="0"/>
        <v>5003.3883069242138</v>
      </c>
      <c r="I8" s="6">
        <f t="shared" si="1"/>
        <v>8.1491888620460742</v>
      </c>
      <c r="J8" s="3">
        <v>6.6396505376344033</v>
      </c>
      <c r="K8" s="3">
        <v>5.6108870967741922</v>
      </c>
      <c r="L8" s="3">
        <v>4.2397849462365516</v>
      </c>
      <c r="M8" s="3">
        <v>2.713575268817205</v>
      </c>
      <c r="N8" s="3">
        <v>2.4201612903225822</v>
      </c>
      <c r="O8" s="3">
        <v>2.2217741935483901</v>
      </c>
      <c r="P8" s="3">
        <v>82.231854838709694</v>
      </c>
      <c r="Q8" s="3">
        <v>81.033467741935524</v>
      </c>
      <c r="R8" s="3">
        <v>83.330645161290278</v>
      </c>
      <c r="S8" s="3">
        <v>84.731989247311844</v>
      </c>
      <c r="T8" s="3">
        <v>88.15456989247312</v>
      </c>
      <c r="U8" s="3">
        <v>90.278225806451672</v>
      </c>
      <c r="V8" s="3"/>
      <c r="W8" s="3"/>
      <c r="X8" s="3"/>
      <c r="Y8" s="3"/>
      <c r="Z8" s="3"/>
      <c r="AA8" s="3"/>
      <c r="AB8" s="3"/>
      <c r="AC8" s="3">
        <v>5.5</v>
      </c>
      <c r="AD8" s="3">
        <v>5.403225806451613</v>
      </c>
      <c r="AE8" s="3">
        <v>3.7903225806451615</v>
      </c>
      <c r="AF8" s="3">
        <v>2.4193548387096775</v>
      </c>
      <c r="AG8" s="3">
        <v>1.0548387096774194</v>
      </c>
      <c r="AH8" s="3">
        <v>0.95161290322580649</v>
      </c>
      <c r="AI8" s="6">
        <f t="shared" si="2"/>
        <v>4696.0635782042573</v>
      </c>
      <c r="AJ8" s="6">
        <f t="shared" si="3"/>
        <v>6.9958158508551422</v>
      </c>
      <c r="AK8" s="3">
        <v>4.3935483870967742</v>
      </c>
      <c r="AL8" s="3">
        <v>3.7354838709677418</v>
      </c>
      <c r="AM8" s="3">
        <v>2.2161290322580642</v>
      </c>
      <c r="AN8" s="3">
        <v>0.73225806451612896</v>
      </c>
      <c r="AO8" s="3">
        <v>2.9032258064516214E-2</v>
      </c>
      <c r="AP8" s="3">
        <v>2.9032258064516214E-2</v>
      </c>
      <c r="AQ8" s="3">
        <v>50.722580645161287</v>
      </c>
      <c r="AR8" s="3">
        <v>56.390322580645154</v>
      </c>
      <c r="AS8" s="3">
        <v>61.312903225806451</v>
      </c>
      <c r="AT8" s="3">
        <v>69.277419354838727</v>
      </c>
      <c r="AU8" s="3">
        <v>72.032258064516142</v>
      </c>
      <c r="AV8" s="3">
        <v>72.790322580645153</v>
      </c>
      <c r="AW8" s="21"/>
      <c r="AX8" s="21"/>
      <c r="AY8" s="20">
        <v>39083</v>
      </c>
      <c r="AZ8" s="21">
        <v>5003.3883069242138</v>
      </c>
      <c r="BA8" s="26">
        <v>0.66</v>
      </c>
      <c r="BB8" s="26">
        <v>0.66</v>
      </c>
      <c r="BC8" s="23">
        <v>-1.3</v>
      </c>
      <c r="BD8">
        <v>28.97</v>
      </c>
      <c r="BE8">
        <v>27.24</v>
      </c>
      <c r="BF8">
        <v>25.23</v>
      </c>
      <c r="BG8" s="9"/>
      <c r="BH8" s="9"/>
      <c r="BI8" s="9"/>
      <c r="BJ8" s="9"/>
      <c r="BO8" s="10">
        <v>2005</v>
      </c>
      <c r="BP8" s="28">
        <v>0.6</v>
      </c>
      <c r="BQ8" s="28">
        <v>0.6</v>
      </c>
      <c r="BR8" s="27">
        <v>0.4</v>
      </c>
      <c r="BS8" s="27">
        <v>0.4</v>
      </c>
      <c r="BT8" s="27">
        <v>0.3</v>
      </c>
      <c r="BU8" s="27">
        <v>0.1</v>
      </c>
      <c r="BV8" s="27">
        <v>-0.1</v>
      </c>
      <c r="BW8" s="27">
        <v>-0.1</v>
      </c>
      <c r="BX8" s="27">
        <v>-0.1</v>
      </c>
      <c r="BY8" s="27">
        <v>-0.3</v>
      </c>
      <c r="BZ8" s="24">
        <v>-0.6</v>
      </c>
      <c r="CA8" s="24">
        <v>-0.8</v>
      </c>
      <c r="CC8">
        <v>2005</v>
      </c>
      <c r="CD8">
        <v>29.2</v>
      </c>
      <c r="CE8">
        <v>28.87</v>
      </c>
      <c r="CF8">
        <v>28.93</v>
      </c>
      <c r="CG8">
        <v>29.05</v>
      </c>
      <c r="CH8">
        <v>29.21</v>
      </c>
      <c r="CI8">
        <v>29.14</v>
      </c>
      <c r="CJ8">
        <v>28.79</v>
      </c>
      <c r="CK8">
        <v>28.73</v>
      </c>
      <c r="CL8">
        <v>28.79</v>
      </c>
      <c r="CM8">
        <v>28.85</v>
      </c>
      <c r="CN8">
        <v>28.55</v>
      </c>
      <c r="CO8">
        <v>28.28</v>
      </c>
      <c r="CQ8">
        <v>2005</v>
      </c>
      <c r="CR8">
        <v>24.54</v>
      </c>
      <c r="CS8">
        <v>25.16</v>
      </c>
      <c r="CT8">
        <v>25.03</v>
      </c>
      <c r="CU8">
        <v>25.12</v>
      </c>
      <c r="CV8">
        <v>24.04</v>
      </c>
      <c r="CW8">
        <v>22.35</v>
      </c>
      <c r="CX8">
        <v>21.61</v>
      </c>
      <c r="CY8">
        <v>20.61</v>
      </c>
      <c r="CZ8">
        <v>19.989999999999998</v>
      </c>
      <c r="DA8">
        <v>19.75</v>
      </c>
      <c r="DB8">
        <v>20.23</v>
      </c>
      <c r="DC8">
        <v>21.89</v>
      </c>
      <c r="DE8">
        <v>2005</v>
      </c>
      <c r="DF8">
        <v>27.21</v>
      </c>
      <c r="DG8">
        <v>27.11</v>
      </c>
      <c r="DH8">
        <v>27.73</v>
      </c>
      <c r="DI8">
        <v>28.08</v>
      </c>
      <c r="DJ8">
        <v>28.24</v>
      </c>
      <c r="DK8">
        <v>27.77</v>
      </c>
      <c r="DL8">
        <v>27.06</v>
      </c>
      <c r="DM8">
        <v>26.8</v>
      </c>
      <c r="DN8">
        <v>26.68</v>
      </c>
      <c r="DO8">
        <v>26.65</v>
      </c>
      <c r="DP8">
        <v>26.11</v>
      </c>
      <c r="DQ8">
        <v>25.68</v>
      </c>
      <c r="DS8">
        <v>2005</v>
      </c>
      <c r="DT8">
        <v>-2.5979999999999999</v>
      </c>
      <c r="DU8">
        <v>-2.605</v>
      </c>
      <c r="DV8">
        <v>-2.4079999999999999</v>
      </c>
      <c r="DW8">
        <v>-2.383</v>
      </c>
      <c r="DX8">
        <v>-2.2839999999999998</v>
      </c>
      <c r="DY8">
        <v>-1.897</v>
      </c>
      <c r="DZ8">
        <v>-1.885</v>
      </c>
      <c r="EA8">
        <v>-2.1240000000000001</v>
      </c>
      <c r="EB8">
        <v>-1.9990000000000001</v>
      </c>
      <c r="EC8">
        <v>-1.6679999999999999</v>
      </c>
      <c r="ED8">
        <v>-1.264</v>
      </c>
      <c r="EE8">
        <v>-0.47499999999999998</v>
      </c>
      <c r="EG8" s="25">
        <v>2005</v>
      </c>
      <c r="EH8">
        <v>0.02</v>
      </c>
      <c r="EI8">
        <v>0.14000000000000001</v>
      </c>
      <c r="EJ8">
        <v>0.88</v>
      </c>
      <c r="EK8">
        <v>1.28</v>
      </c>
      <c r="EL8">
        <v>1.74</v>
      </c>
      <c r="EM8">
        <v>0.28999999999999998</v>
      </c>
      <c r="EN8">
        <v>0.43</v>
      </c>
      <c r="EO8">
        <v>0.72</v>
      </c>
      <c r="EP8">
        <v>1.63</v>
      </c>
      <c r="EQ8">
        <v>0.9</v>
      </c>
      <c r="ER8">
        <v>-0.76</v>
      </c>
      <c r="ES8">
        <v>1.38</v>
      </c>
      <c r="EU8" s="25">
        <v>2005</v>
      </c>
      <c r="EV8">
        <v>1.07</v>
      </c>
      <c r="EW8">
        <v>1.59</v>
      </c>
      <c r="EX8">
        <v>-0.12</v>
      </c>
      <c r="EY8">
        <v>3.46</v>
      </c>
      <c r="EZ8">
        <v>-0.45</v>
      </c>
      <c r="FA8">
        <v>-0.41</v>
      </c>
      <c r="FB8">
        <v>-0.5</v>
      </c>
      <c r="FC8">
        <v>0.5</v>
      </c>
      <c r="FD8">
        <v>0.39</v>
      </c>
      <c r="FE8">
        <v>-0.11</v>
      </c>
      <c r="FF8">
        <v>0.66</v>
      </c>
      <c r="FG8">
        <v>-2.76</v>
      </c>
      <c r="FI8" s="25">
        <v>2005</v>
      </c>
      <c r="FJ8">
        <v>1.52</v>
      </c>
      <c r="FK8">
        <v>-0.06</v>
      </c>
      <c r="FL8">
        <v>-1.83</v>
      </c>
      <c r="FM8">
        <v>-0.3</v>
      </c>
      <c r="FN8">
        <v>-1.25</v>
      </c>
      <c r="FO8">
        <v>-0.05</v>
      </c>
      <c r="FP8">
        <v>-0.51</v>
      </c>
      <c r="FQ8">
        <v>0.37</v>
      </c>
      <c r="FR8">
        <v>0.63</v>
      </c>
      <c r="FS8">
        <v>-0.98</v>
      </c>
      <c r="FT8">
        <v>-0.31</v>
      </c>
      <c r="FU8">
        <v>-0.44</v>
      </c>
    </row>
    <row r="9" spans="1:304" ht="19.2" customHeight="1" thickBot="1">
      <c r="A9" s="20">
        <v>39114</v>
      </c>
      <c r="B9" s="3">
        <v>9.2976190476190474</v>
      </c>
      <c r="C9" s="3">
        <v>8.2894345238095237</v>
      </c>
      <c r="D9" s="3">
        <v>6.4809523809523792</v>
      </c>
      <c r="E9" s="3">
        <v>4.5386904761904763</v>
      </c>
      <c r="F9" s="3">
        <v>3.3510416666666689</v>
      </c>
      <c r="G9" s="3">
        <v>3.5431547619047619</v>
      </c>
      <c r="H9" s="6">
        <f t="shared" si="0"/>
        <v>4933.026506488417</v>
      </c>
      <c r="I9" s="6">
        <f t="shared" si="1"/>
        <v>8.1429589608670447</v>
      </c>
      <c r="J9" s="3">
        <v>5.205952380952386</v>
      </c>
      <c r="K9" s="3">
        <v>4.3406249999999984</v>
      </c>
      <c r="L9" s="3">
        <v>3.0005952380952405</v>
      </c>
      <c r="M9" s="3">
        <v>1.3724702380952412</v>
      </c>
      <c r="N9" s="3">
        <v>0.91964285714285543</v>
      </c>
      <c r="O9" s="3">
        <v>0.73437499999999833</v>
      </c>
      <c r="P9" s="3">
        <v>78.513988095238034</v>
      </c>
      <c r="Q9" s="3">
        <v>77.985565476190402</v>
      </c>
      <c r="R9" s="3">
        <v>79.836458333333283</v>
      </c>
      <c r="S9" s="3">
        <v>81.056101190476113</v>
      </c>
      <c r="T9" s="3">
        <v>83.961607142857133</v>
      </c>
      <c r="U9" s="3">
        <v>84.03973214285709</v>
      </c>
      <c r="V9" s="3"/>
      <c r="W9" s="3"/>
      <c r="X9" s="3"/>
      <c r="Y9" s="3"/>
      <c r="Z9" s="3"/>
      <c r="AA9" s="3"/>
      <c r="AB9" s="3"/>
      <c r="AC9" s="3">
        <v>4.5178571428571432</v>
      </c>
      <c r="AD9" s="3">
        <v>4.7142857142857144</v>
      </c>
      <c r="AE9" s="3">
        <v>2.9107142857142856</v>
      </c>
      <c r="AF9" s="3">
        <v>1.5892857142857142</v>
      </c>
      <c r="AG9" s="3">
        <v>0.24642857142857147</v>
      </c>
      <c r="AH9" s="3">
        <v>0.2857142857142857</v>
      </c>
      <c r="AI9" s="6">
        <f t="shared" si="2"/>
        <v>4573.5114156265727</v>
      </c>
      <c r="AJ9" s="6">
        <f t="shared" si="3"/>
        <v>7.1304896900570434</v>
      </c>
      <c r="AK9" s="3">
        <v>3.0964285714285706</v>
      </c>
      <c r="AL9" s="3">
        <v>2.5071428571428576</v>
      </c>
      <c r="AM9" s="3">
        <v>0.89285714285714346</v>
      </c>
      <c r="AN9" s="3">
        <v>-0.84999999999999987</v>
      </c>
      <c r="AO9" s="3">
        <v>-1.9428571428571431</v>
      </c>
      <c r="AP9" s="3">
        <v>-1.9428571428571431</v>
      </c>
      <c r="AQ9" s="3">
        <v>48.582142857142863</v>
      </c>
      <c r="AR9" s="3">
        <v>54.63214285714286</v>
      </c>
      <c r="AS9" s="3">
        <v>57.992857142857154</v>
      </c>
      <c r="AT9" s="3">
        <v>64.628571428571433</v>
      </c>
      <c r="AU9" s="3">
        <v>67.664285714285725</v>
      </c>
      <c r="AV9" s="3">
        <v>63.607142857142875</v>
      </c>
      <c r="AW9" s="21"/>
      <c r="AX9" s="21"/>
      <c r="AY9" s="20">
        <v>39114</v>
      </c>
      <c r="AZ9" s="21">
        <v>4933.026506488417</v>
      </c>
      <c r="BA9" s="22">
        <v>0.22</v>
      </c>
      <c r="BB9" s="22">
        <v>0.22</v>
      </c>
      <c r="BC9" s="23">
        <v>-0.1</v>
      </c>
      <c r="BD9">
        <v>28.66</v>
      </c>
      <c r="BE9">
        <v>26.88</v>
      </c>
      <c r="BF9">
        <v>26.21</v>
      </c>
      <c r="BG9" s="9"/>
      <c r="BH9" s="9"/>
      <c r="BI9" s="9"/>
      <c r="BJ9" s="9"/>
      <c r="BO9" s="10">
        <v>2006</v>
      </c>
      <c r="BP9" s="24">
        <v>-0.9</v>
      </c>
      <c r="BQ9" s="24">
        <v>-0.8</v>
      </c>
      <c r="BR9" s="24">
        <v>-0.6</v>
      </c>
      <c r="BS9" s="27">
        <v>-0.4</v>
      </c>
      <c r="BT9" s="27">
        <v>-0.1</v>
      </c>
      <c r="BU9" s="27">
        <v>0</v>
      </c>
      <c r="BV9" s="27">
        <v>0.1</v>
      </c>
      <c r="BW9" s="27">
        <v>0.3</v>
      </c>
      <c r="BX9" s="28">
        <v>0.5</v>
      </c>
      <c r="BY9" s="28">
        <v>0.8</v>
      </c>
      <c r="BZ9" s="28">
        <v>0.9</v>
      </c>
      <c r="CA9" s="28">
        <v>0.9</v>
      </c>
      <c r="CC9">
        <v>2006</v>
      </c>
      <c r="CD9">
        <v>27.82</v>
      </c>
      <c r="CE9">
        <v>27.52</v>
      </c>
      <c r="CF9">
        <v>27.73</v>
      </c>
      <c r="CG9">
        <v>28.29</v>
      </c>
      <c r="CH9">
        <v>28.86</v>
      </c>
      <c r="CI9">
        <v>29.03</v>
      </c>
      <c r="CJ9">
        <v>29.1</v>
      </c>
      <c r="CK9">
        <v>29.21</v>
      </c>
      <c r="CL9">
        <v>29.4</v>
      </c>
      <c r="CM9">
        <v>29.45</v>
      </c>
      <c r="CN9">
        <v>29.62</v>
      </c>
      <c r="CO9">
        <v>29.46</v>
      </c>
      <c r="CQ9">
        <v>2006</v>
      </c>
      <c r="CR9">
        <v>24.19</v>
      </c>
      <c r="CS9">
        <v>26.32</v>
      </c>
      <c r="CT9">
        <v>26.2</v>
      </c>
      <c r="CU9">
        <v>24.04</v>
      </c>
      <c r="CV9">
        <v>23.86</v>
      </c>
      <c r="CW9">
        <v>22.91</v>
      </c>
      <c r="CX9">
        <v>22.16</v>
      </c>
      <c r="CY9">
        <v>21.71</v>
      </c>
      <c r="CZ9">
        <v>21.7</v>
      </c>
      <c r="DA9">
        <v>22.07</v>
      </c>
      <c r="DB9">
        <v>22.45</v>
      </c>
      <c r="DC9">
        <v>23.52</v>
      </c>
      <c r="DE9">
        <v>2006</v>
      </c>
      <c r="DF9">
        <v>25.63</v>
      </c>
      <c r="DG9">
        <v>26.08</v>
      </c>
      <c r="DH9">
        <v>26.57</v>
      </c>
      <c r="DI9">
        <v>27.5</v>
      </c>
      <c r="DJ9">
        <v>27.85</v>
      </c>
      <c r="DK9">
        <v>27.73</v>
      </c>
      <c r="DL9">
        <v>27.3</v>
      </c>
      <c r="DM9">
        <v>27.16</v>
      </c>
      <c r="DN9">
        <v>27.32</v>
      </c>
      <c r="DO9">
        <v>27.41</v>
      </c>
      <c r="DP9">
        <v>27.69</v>
      </c>
      <c r="DQ9">
        <v>27.74</v>
      </c>
      <c r="DS9">
        <v>2006</v>
      </c>
      <c r="DT9">
        <v>0.151</v>
      </c>
      <c r="DU9">
        <v>6.7000000000000004E-2</v>
      </c>
      <c r="DV9">
        <v>-9.9000000000000005E-2</v>
      </c>
      <c r="DW9">
        <v>-0.60099999999999998</v>
      </c>
      <c r="DX9">
        <v>-1.17</v>
      </c>
      <c r="DY9">
        <v>-1.5009999999999999</v>
      </c>
      <c r="DZ9">
        <v>-1.2889999999999999</v>
      </c>
      <c r="EA9">
        <v>-1.087</v>
      </c>
      <c r="EB9">
        <v>-0.99099999999999999</v>
      </c>
      <c r="EC9">
        <v>-1.131</v>
      </c>
      <c r="ED9">
        <v>-1.1839999999999999</v>
      </c>
      <c r="EE9">
        <v>-1.204</v>
      </c>
      <c r="EG9" s="25">
        <v>2006</v>
      </c>
      <c r="EH9">
        <v>0.43</v>
      </c>
      <c r="EI9">
        <v>-0.11</v>
      </c>
      <c r="EJ9">
        <v>-0.27</v>
      </c>
      <c r="EK9">
        <v>0.45</v>
      </c>
      <c r="EL9">
        <v>-1.27</v>
      </c>
      <c r="EM9">
        <v>-1.06</v>
      </c>
      <c r="EN9">
        <v>1.83</v>
      </c>
      <c r="EO9">
        <v>-1.41</v>
      </c>
      <c r="EP9">
        <v>0.42</v>
      </c>
      <c r="EQ9">
        <v>-0.84</v>
      </c>
      <c r="ER9">
        <v>-1.39</v>
      </c>
      <c r="ES9">
        <v>1.86</v>
      </c>
      <c r="EU9" s="25">
        <v>2006</v>
      </c>
      <c r="EV9">
        <v>0.56000000000000005</v>
      </c>
      <c r="EW9">
        <v>-1.85</v>
      </c>
      <c r="EX9">
        <v>1.66</v>
      </c>
      <c r="EY9">
        <v>-0.69</v>
      </c>
      <c r="EZ9">
        <v>2.2799999999999998</v>
      </c>
      <c r="FA9">
        <v>2.0499999999999998</v>
      </c>
      <c r="FB9">
        <v>1.61</v>
      </c>
      <c r="FC9">
        <v>-2.64</v>
      </c>
      <c r="FD9">
        <v>-0.26</v>
      </c>
      <c r="FE9">
        <v>1.79</v>
      </c>
      <c r="FF9">
        <v>0.14000000000000001</v>
      </c>
      <c r="FG9">
        <v>1.34</v>
      </c>
      <c r="FI9" s="25">
        <v>2006</v>
      </c>
      <c r="FJ9">
        <v>1.27</v>
      </c>
      <c r="FK9">
        <v>-0.51</v>
      </c>
      <c r="FL9">
        <v>-1.28</v>
      </c>
      <c r="FM9">
        <v>1.24</v>
      </c>
      <c r="FN9">
        <v>-1.1399999999999999</v>
      </c>
      <c r="FO9">
        <v>0.84</v>
      </c>
      <c r="FP9">
        <v>0.9</v>
      </c>
      <c r="FQ9">
        <v>-1.73</v>
      </c>
      <c r="FR9">
        <v>-1.62</v>
      </c>
      <c r="FS9">
        <v>-2.2400000000000002</v>
      </c>
      <c r="FT9">
        <v>0.44</v>
      </c>
      <c r="FU9">
        <v>1.34</v>
      </c>
    </row>
    <row r="10" spans="1:304" ht="15" thickBot="1">
      <c r="A10" s="20">
        <v>39142</v>
      </c>
      <c r="B10" s="3">
        <v>8.845430107526882</v>
      </c>
      <c r="C10" s="3">
        <v>7.469086021505376</v>
      </c>
      <c r="D10" s="3">
        <v>5.6508064516129028</v>
      </c>
      <c r="E10" s="3">
        <v>3.6821236559139785</v>
      </c>
      <c r="F10" s="3">
        <v>2.5435483870967737</v>
      </c>
      <c r="G10" s="3">
        <v>2.2486559139784945</v>
      </c>
      <c r="H10" s="6">
        <f t="shared" si="0"/>
        <v>4832.0534613737445</v>
      </c>
      <c r="I10" s="6">
        <f t="shared" si="1"/>
        <v>8.1364514637575489</v>
      </c>
      <c r="J10" s="3">
        <v>5.9848118279569942</v>
      </c>
      <c r="K10" s="3">
        <v>5.0814516129032246</v>
      </c>
      <c r="L10" s="3">
        <v>3.6595430107526874</v>
      </c>
      <c r="M10" s="3">
        <v>2.0071236559139805</v>
      </c>
      <c r="N10" s="3">
        <v>1.793010752688172</v>
      </c>
      <c r="O10" s="3">
        <v>1.5467741935483879</v>
      </c>
      <c r="P10" s="3">
        <v>83.993010752688207</v>
      </c>
      <c r="Q10" s="3">
        <v>85.490994623655894</v>
      </c>
      <c r="R10" s="3">
        <v>87.371236559139717</v>
      </c>
      <c r="S10" s="3">
        <v>89.019489247311697</v>
      </c>
      <c r="T10" s="3">
        <v>91.564516129032214</v>
      </c>
      <c r="U10" s="3">
        <v>94.650537634408579</v>
      </c>
      <c r="V10" s="3"/>
      <c r="W10" s="3"/>
      <c r="X10" s="3"/>
      <c r="Y10" s="3"/>
      <c r="Z10" s="3"/>
      <c r="AA10" s="3"/>
      <c r="AB10" s="3"/>
      <c r="AC10" s="3">
        <v>5.0161290322580649</v>
      </c>
      <c r="AD10" s="3">
        <v>4.709677419354839</v>
      </c>
      <c r="AE10" s="3">
        <v>3.064516129032258</v>
      </c>
      <c r="AF10" s="3">
        <v>1.4193548387096775</v>
      </c>
      <c r="AG10" s="3">
        <v>0.13225806451612901</v>
      </c>
      <c r="AH10" s="3">
        <v>0.35483870967741937</v>
      </c>
      <c r="AI10" s="6">
        <f t="shared" si="2"/>
        <v>4557.1633989766306</v>
      </c>
      <c r="AJ10" s="6">
        <f t="shared" si="3"/>
        <v>7.471708035693216</v>
      </c>
      <c r="AK10" s="3">
        <v>3.8258064516129022</v>
      </c>
      <c r="AL10" s="3">
        <v>3.2516129032258063</v>
      </c>
      <c r="AM10" s="3">
        <v>1.7774193548387098</v>
      </c>
      <c r="AN10" s="3">
        <v>0.28387096774193543</v>
      </c>
      <c r="AO10" s="3">
        <v>-0.44838709677419358</v>
      </c>
      <c r="AP10" s="3">
        <v>-0.44838709677419358</v>
      </c>
      <c r="AQ10" s="3">
        <v>56.603225806451618</v>
      </c>
      <c r="AR10" s="3">
        <v>67.270967741935479</v>
      </c>
      <c r="AS10" s="3">
        <v>71.651612903225796</v>
      </c>
      <c r="AT10" s="3">
        <v>77.770967741935493</v>
      </c>
      <c r="AU10" s="3">
        <v>79.516129032258064</v>
      </c>
      <c r="AV10" s="3">
        <v>81.261290322580663</v>
      </c>
      <c r="AW10" s="21"/>
      <c r="AX10" s="21"/>
      <c r="AY10" s="20">
        <v>39142</v>
      </c>
      <c r="AZ10" s="21">
        <v>4832.0534613737445</v>
      </c>
      <c r="BA10" s="22">
        <v>-0.12</v>
      </c>
      <c r="BB10" s="22">
        <v>-0.12</v>
      </c>
      <c r="BC10" s="23">
        <v>0.3</v>
      </c>
      <c r="BD10">
        <v>28.66</v>
      </c>
      <c r="BE10">
        <v>27.1</v>
      </c>
      <c r="BF10">
        <v>25.84</v>
      </c>
      <c r="BG10" s="9"/>
      <c r="BH10" s="9"/>
      <c r="BI10" s="9"/>
      <c r="BJ10" s="9"/>
      <c r="BO10" s="10">
        <v>2007</v>
      </c>
      <c r="BP10" s="28">
        <v>0.7</v>
      </c>
      <c r="BQ10" s="27">
        <v>0.2</v>
      </c>
      <c r="BR10" s="27">
        <v>-0.1</v>
      </c>
      <c r="BS10" s="27">
        <v>-0.3</v>
      </c>
      <c r="BT10" s="27">
        <v>-0.4</v>
      </c>
      <c r="BU10" s="24">
        <v>-0.5</v>
      </c>
      <c r="BV10" s="24">
        <v>-0.6</v>
      </c>
      <c r="BW10" s="24">
        <v>-0.8</v>
      </c>
      <c r="BX10" s="24">
        <v>-1.1000000000000001</v>
      </c>
      <c r="BY10" s="24">
        <v>-1.3</v>
      </c>
      <c r="BZ10" s="24">
        <v>-1.5</v>
      </c>
      <c r="CA10" s="24">
        <v>-1.6</v>
      </c>
      <c r="CC10">
        <v>2007</v>
      </c>
      <c r="CD10">
        <v>28.97</v>
      </c>
      <c r="CE10">
        <v>28.66</v>
      </c>
      <c r="CF10">
        <v>28.66</v>
      </c>
      <c r="CG10">
        <v>28.73</v>
      </c>
      <c r="CH10">
        <v>28.84</v>
      </c>
      <c r="CI10">
        <v>28.9</v>
      </c>
      <c r="CJ10">
        <v>28.68</v>
      </c>
      <c r="CK10">
        <v>28.48</v>
      </c>
      <c r="CL10">
        <v>28.11</v>
      </c>
      <c r="CM10">
        <v>27.91</v>
      </c>
      <c r="CN10">
        <v>27.61</v>
      </c>
      <c r="CO10">
        <v>27.42</v>
      </c>
      <c r="CQ10">
        <v>2007</v>
      </c>
      <c r="CR10">
        <v>25.23</v>
      </c>
      <c r="CS10">
        <v>26.21</v>
      </c>
      <c r="CT10">
        <v>25.84</v>
      </c>
      <c r="CU10">
        <v>24.31</v>
      </c>
      <c r="CV10">
        <v>22.63</v>
      </c>
      <c r="CW10">
        <v>21.52</v>
      </c>
      <c r="CX10">
        <v>20.98</v>
      </c>
      <c r="CY10">
        <v>19.809999999999999</v>
      </c>
      <c r="CZ10">
        <v>19.75</v>
      </c>
      <c r="DA10">
        <v>19.5</v>
      </c>
      <c r="DB10">
        <v>19.920000000000002</v>
      </c>
      <c r="DC10">
        <v>21.15</v>
      </c>
      <c r="DE10">
        <v>2007</v>
      </c>
      <c r="DF10">
        <v>27.24</v>
      </c>
      <c r="DG10">
        <v>26.88</v>
      </c>
      <c r="DH10">
        <v>27.1</v>
      </c>
      <c r="DI10">
        <v>27.5</v>
      </c>
      <c r="DJ10">
        <v>27.46</v>
      </c>
      <c r="DK10">
        <v>27.37</v>
      </c>
      <c r="DL10">
        <v>26.71</v>
      </c>
      <c r="DM10">
        <v>26.14</v>
      </c>
      <c r="DN10">
        <v>25.61</v>
      </c>
      <c r="DO10">
        <v>25.32</v>
      </c>
      <c r="DP10">
        <v>25.17</v>
      </c>
      <c r="DQ10">
        <v>25.01</v>
      </c>
      <c r="DS10">
        <v>2007</v>
      </c>
      <c r="DT10">
        <v>-1.5940000000000001</v>
      </c>
      <c r="DU10">
        <v>-1.8340000000000001</v>
      </c>
      <c r="DV10">
        <v>-2.0219999999999998</v>
      </c>
      <c r="DW10">
        <v>-2.3410000000000002</v>
      </c>
      <c r="DX10">
        <v>-2.6549999999999998</v>
      </c>
      <c r="DY10">
        <v>-2.6970000000000001</v>
      </c>
      <c r="DZ10">
        <v>-2.5649999999999999</v>
      </c>
      <c r="EA10">
        <v>-2.3050000000000002</v>
      </c>
      <c r="EB10">
        <v>-1.865</v>
      </c>
      <c r="EC10">
        <v>-1.2909999999999999</v>
      </c>
      <c r="ED10">
        <v>-0.30199999999999999</v>
      </c>
      <c r="EE10">
        <v>0.85</v>
      </c>
      <c r="EG10" s="25">
        <v>2007</v>
      </c>
      <c r="EH10">
        <v>0.72</v>
      </c>
      <c r="EI10">
        <v>-0.09</v>
      </c>
      <c r="EJ10">
        <v>0.18</v>
      </c>
      <c r="EK10">
        <v>1.25</v>
      </c>
      <c r="EL10">
        <v>-0.06</v>
      </c>
      <c r="EM10">
        <v>-0.38</v>
      </c>
      <c r="EN10">
        <v>2.21</v>
      </c>
      <c r="EO10">
        <v>1.98</v>
      </c>
      <c r="EP10">
        <v>1.88</v>
      </c>
      <c r="EQ10">
        <v>0.55000000000000004</v>
      </c>
      <c r="ER10">
        <v>0.69</v>
      </c>
      <c r="ES10">
        <v>0.14000000000000001</v>
      </c>
      <c r="EU10" s="25">
        <v>2007</v>
      </c>
      <c r="EV10">
        <v>0.03</v>
      </c>
      <c r="EW10">
        <v>2.36</v>
      </c>
      <c r="EX10">
        <v>-0.77</v>
      </c>
      <c r="EY10">
        <v>-0.33</v>
      </c>
      <c r="EZ10">
        <v>-1.02</v>
      </c>
      <c r="FA10">
        <v>-0.65</v>
      </c>
      <c r="FB10">
        <v>-2.67</v>
      </c>
      <c r="FC10">
        <v>-0.28000000000000003</v>
      </c>
      <c r="FD10">
        <v>-1.88</v>
      </c>
      <c r="FE10">
        <v>-0.86</v>
      </c>
      <c r="FF10">
        <v>0.03</v>
      </c>
      <c r="FG10">
        <v>2.8</v>
      </c>
      <c r="FI10" s="25">
        <v>2007</v>
      </c>
      <c r="FJ10">
        <v>0.22</v>
      </c>
      <c r="FK10">
        <v>-0.47</v>
      </c>
      <c r="FL10">
        <v>1.44</v>
      </c>
      <c r="FM10">
        <v>0.17</v>
      </c>
      <c r="FN10">
        <v>0.66</v>
      </c>
      <c r="FO10">
        <v>-1.31</v>
      </c>
      <c r="FP10">
        <v>-0.57999999999999996</v>
      </c>
      <c r="FQ10">
        <v>-0.14000000000000001</v>
      </c>
      <c r="FR10">
        <v>0.72</v>
      </c>
      <c r="FS10">
        <v>0.45</v>
      </c>
      <c r="FT10">
        <v>0.57999999999999996</v>
      </c>
      <c r="FU10">
        <v>0.34</v>
      </c>
    </row>
    <row r="11" spans="1:304" ht="15" thickBot="1">
      <c r="A11" s="20">
        <v>39173</v>
      </c>
      <c r="B11" s="3">
        <v>9.0806709265175716</v>
      </c>
      <c r="C11" s="3">
        <v>7.9333333333333336</v>
      </c>
      <c r="D11" s="3">
        <v>5.907916666666666</v>
      </c>
      <c r="E11" s="3">
        <v>4.0888888888888886</v>
      </c>
      <c r="F11" s="3">
        <v>2.8184722222222223</v>
      </c>
      <c r="G11" s="3">
        <v>2.4833333333333334</v>
      </c>
      <c r="H11" s="6">
        <f t="shared" si="0"/>
        <v>4858.8305196445717</v>
      </c>
      <c r="I11" s="6">
        <f t="shared" si="1"/>
        <v>8.3222799106120231</v>
      </c>
      <c r="J11" s="3">
        <v>6.0065495207667841</v>
      </c>
      <c r="K11" s="3">
        <v>4.5549999999999988</v>
      </c>
      <c r="L11" s="3">
        <v>3.325555555555558</v>
      </c>
      <c r="M11" s="3">
        <v>1.7234722222222236</v>
      </c>
      <c r="N11" s="3">
        <v>1.3262500000000002</v>
      </c>
      <c r="O11" s="3">
        <v>1.1483333333333337</v>
      </c>
      <c r="P11" s="3">
        <v>82.874440894568664</v>
      </c>
      <c r="Q11" s="3">
        <v>80.541944444444269</v>
      </c>
      <c r="R11" s="3">
        <v>84.222777777777878</v>
      </c>
      <c r="S11" s="3">
        <v>85.107083333333264</v>
      </c>
      <c r="T11" s="3">
        <v>88.043472222222221</v>
      </c>
      <c r="U11" s="3">
        <v>90.942083333333329</v>
      </c>
      <c r="V11" s="3"/>
      <c r="W11" s="3"/>
      <c r="X11" s="3"/>
      <c r="Y11" s="3"/>
      <c r="Z11" s="3"/>
      <c r="AA11" s="3"/>
      <c r="AB11" s="3"/>
      <c r="AC11" s="3">
        <v>4.4629629629629628</v>
      </c>
      <c r="AD11" s="3">
        <v>4.833333333333333</v>
      </c>
      <c r="AE11" s="3">
        <v>3.2333333333333334</v>
      </c>
      <c r="AF11" s="3">
        <v>1.6666666666666667</v>
      </c>
      <c r="AG11" s="3">
        <v>0.29000000000000004</v>
      </c>
      <c r="AH11" s="3">
        <v>0.2</v>
      </c>
      <c r="AI11" s="6">
        <f t="shared" si="2"/>
        <v>4585.0017499526048</v>
      </c>
      <c r="AJ11" s="6">
        <f t="shared" si="3"/>
        <v>7.3853700554505224</v>
      </c>
      <c r="AK11" s="3">
        <v>3.2814814814814808</v>
      </c>
      <c r="AL11" s="3">
        <v>2.5366666666666666</v>
      </c>
      <c r="AM11" s="3">
        <v>1.2899999999999998</v>
      </c>
      <c r="AN11" s="3">
        <v>-0.26333333333333342</v>
      </c>
      <c r="AO11" s="3">
        <v>-1.19</v>
      </c>
      <c r="AP11" s="3">
        <v>-1.2</v>
      </c>
      <c r="AQ11" s="3">
        <v>56.837037037037035</v>
      </c>
      <c r="AR11" s="3">
        <v>61.173333333333325</v>
      </c>
      <c r="AS11" s="3">
        <v>67.250000000000014</v>
      </c>
      <c r="AT11" s="3">
        <v>72.05</v>
      </c>
      <c r="AU11" s="3">
        <v>75.066666666666677</v>
      </c>
      <c r="AV11" s="3">
        <v>76.143333333333331</v>
      </c>
      <c r="AW11" s="21"/>
      <c r="AX11" s="21"/>
      <c r="AY11" s="20">
        <v>39173</v>
      </c>
      <c r="AZ11" s="21">
        <v>4858.8305196445717</v>
      </c>
      <c r="BA11" s="22">
        <v>-0.32</v>
      </c>
      <c r="BB11" s="22">
        <v>-0.32</v>
      </c>
      <c r="BC11" s="23">
        <v>-0.2</v>
      </c>
      <c r="BD11">
        <v>28.73</v>
      </c>
      <c r="BE11">
        <v>27.5</v>
      </c>
      <c r="BF11">
        <v>24.31</v>
      </c>
      <c r="BG11" s="9"/>
      <c r="BH11" s="9"/>
      <c r="BI11" s="9"/>
      <c r="BJ11" s="9"/>
      <c r="BO11" s="10">
        <v>2008</v>
      </c>
      <c r="BP11" s="24">
        <v>-1.6</v>
      </c>
      <c r="BQ11" s="24">
        <v>-1.5</v>
      </c>
      <c r="BR11" s="24">
        <v>-1.3</v>
      </c>
      <c r="BS11" s="24">
        <v>-1</v>
      </c>
      <c r="BT11" s="24">
        <v>-0.8</v>
      </c>
      <c r="BU11" s="24">
        <v>-0.6</v>
      </c>
      <c r="BV11" s="27">
        <v>-0.4</v>
      </c>
      <c r="BW11" s="27">
        <v>-0.2</v>
      </c>
      <c r="BX11" s="27">
        <v>-0.2</v>
      </c>
      <c r="BY11" s="27">
        <v>-0.4</v>
      </c>
      <c r="BZ11" s="24">
        <v>-0.6</v>
      </c>
      <c r="CA11" s="24">
        <v>-0.7</v>
      </c>
      <c r="CC11">
        <v>2008</v>
      </c>
      <c r="CD11">
        <v>26.87</v>
      </c>
      <c r="CE11">
        <v>26.62</v>
      </c>
      <c r="CF11">
        <v>26.97</v>
      </c>
      <c r="CG11">
        <v>27.46</v>
      </c>
      <c r="CH11">
        <v>27.81</v>
      </c>
      <c r="CI11">
        <v>27.96</v>
      </c>
      <c r="CJ11">
        <v>28.07</v>
      </c>
      <c r="CK11">
        <v>28.04</v>
      </c>
      <c r="CL11">
        <v>28.08</v>
      </c>
      <c r="CM11">
        <v>28.17</v>
      </c>
      <c r="CN11">
        <v>27.98</v>
      </c>
      <c r="CO11">
        <v>27.73</v>
      </c>
      <c r="CQ11">
        <v>2008</v>
      </c>
      <c r="CR11">
        <v>24.08</v>
      </c>
      <c r="CS11">
        <v>26.32</v>
      </c>
      <c r="CT11">
        <v>26.88</v>
      </c>
      <c r="CU11">
        <v>25.94</v>
      </c>
      <c r="CV11">
        <v>24.95</v>
      </c>
      <c r="CW11">
        <v>23.68</v>
      </c>
      <c r="CX11">
        <v>22.95</v>
      </c>
      <c r="CY11">
        <v>22.4</v>
      </c>
      <c r="CZ11">
        <v>21.75</v>
      </c>
      <c r="DA11">
        <v>21.37</v>
      </c>
      <c r="DB11">
        <v>21.38</v>
      </c>
      <c r="DC11">
        <v>22.36</v>
      </c>
      <c r="DE11">
        <v>2008</v>
      </c>
      <c r="DF11">
        <v>24.86</v>
      </c>
      <c r="DG11">
        <v>25.08</v>
      </c>
      <c r="DH11">
        <v>26.07</v>
      </c>
      <c r="DI11">
        <v>26.83</v>
      </c>
      <c r="DJ11">
        <v>27.09</v>
      </c>
      <c r="DK11">
        <v>27.04</v>
      </c>
      <c r="DL11">
        <v>26.99</v>
      </c>
      <c r="DM11">
        <v>26.72</v>
      </c>
      <c r="DN11">
        <v>26.47</v>
      </c>
      <c r="DO11">
        <v>26.37</v>
      </c>
      <c r="DP11">
        <v>26.25</v>
      </c>
      <c r="DQ11">
        <v>25.74</v>
      </c>
      <c r="DS11">
        <v>2008</v>
      </c>
      <c r="DT11">
        <v>1.8360000000000001</v>
      </c>
      <c r="DU11">
        <v>2.4039999999999999</v>
      </c>
      <c r="DV11">
        <v>2.6709999999999998</v>
      </c>
      <c r="DW11">
        <v>2.4929999999999999</v>
      </c>
      <c r="DX11">
        <v>2.0150000000000001</v>
      </c>
      <c r="DY11">
        <v>1.613</v>
      </c>
      <c r="DZ11">
        <v>1.429</v>
      </c>
      <c r="EA11">
        <v>1.173</v>
      </c>
      <c r="EB11">
        <v>0.95499999999999996</v>
      </c>
      <c r="EC11">
        <v>0.83899999999999997</v>
      </c>
      <c r="ED11">
        <v>0.78700000000000003</v>
      </c>
      <c r="EE11">
        <v>0.77900000000000003</v>
      </c>
      <c r="EG11" s="25">
        <v>2008</v>
      </c>
      <c r="EH11">
        <v>-0.32</v>
      </c>
      <c r="EI11">
        <v>0.5</v>
      </c>
      <c r="EJ11">
        <v>-0.32</v>
      </c>
      <c r="EK11">
        <v>-0.97</v>
      </c>
      <c r="EL11">
        <v>1.33</v>
      </c>
      <c r="EM11">
        <v>-1.75</v>
      </c>
      <c r="EN11">
        <v>-0.1</v>
      </c>
      <c r="EO11">
        <v>0.92</v>
      </c>
      <c r="EP11">
        <v>1.1200000000000001</v>
      </c>
      <c r="EQ11">
        <v>0.86</v>
      </c>
      <c r="ER11">
        <v>1.1100000000000001</v>
      </c>
      <c r="ES11">
        <v>-1.41</v>
      </c>
      <c r="EU11" s="25">
        <v>2008</v>
      </c>
      <c r="EV11">
        <v>2.56</v>
      </c>
      <c r="EW11">
        <v>1.0900000000000001</v>
      </c>
      <c r="EX11">
        <v>0.63</v>
      </c>
      <c r="EY11">
        <v>-0.81</v>
      </c>
      <c r="EZ11">
        <v>-0.66</v>
      </c>
      <c r="FA11">
        <v>3</v>
      </c>
      <c r="FB11">
        <v>0.23</v>
      </c>
      <c r="FC11">
        <v>0.6</v>
      </c>
      <c r="FD11">
        <v>0.46</v>
      </c>
      <c r="FE11">
        <v>2.21</v>
      </c>
      <c r="FF11">
        <v>1.03</v>
      </c>
      <c r="FG11">
        <v>1.01</v>
      </c>
      <c r="FI11" s="25">
        <v>2008</v>
      </c>
      <c r="FJ11">
        <v>0.89</v>
      </c>
      <c r="FK11">
        <v>0.73</v>
      </c>
      <c r="FL11">
        <v>0.08</v>
      </c>
      <c r="FM11">
        <v>-1.07</v>
      </c>
      <c r="FN11">
        <v>-1.73</v>
      </c>
      <c r="FO11">
        <v>-1.39</v>
      </c>
      <c r="FP11">
        <v>-1.27</v>
      </c>
      <c r="FQ11">
        <v>-1.1599999999999999</v>
      </c>
      <c r="FR11">
        <v>1.02</v>
      </c>
      <c r="FS11">
        <v>-0.04</v>
      </c>
      <c r="FT11">
        <v>-0.32</v>
      </c>
      <c r="FU11">
        <v>-0.28000000000000003</v>
      </c>
    </row>
    <row r="12" spans="1:304" ht="15" thickBot="1">
      <c r="A12" s="20">
        <v>39203</v>
      </c>
      <c r="B12" s="3">
        <v>8.924059139784946</v>
      </c>
      <c r="C12" s="3">
        <v>8.191532258064516</v>
      </c>
      <c r="D12" s="3">
        <v>6.3338709677419365</v>
      </c>
      <c r="E12" s="3">
        <v>4.682795698924731</v>
      </c>
      <c r="F12" s="3">
        <v>3.3083333333333305</v>
      </c>
      <c r="G12" s="3">
        <v>3.40255376344086</v>
      </c>
      <c r="H12" s="6">
        <f t="shared" si="0"/>
        <v>4950.3344268366263</v>
      </c>
      <c r="I12" s="6">
        <f t="shared" si="1"/>
        <v>7.9087182747482023</v>
      </c>
      <c r="J12" s="3">
        <v>4.2705645161290304</v>
      </c>
      <c r="K12" s="3">
        <v>2.7044354838709666</v>
      </c>
      <c r="L12" s="3">
        <v>1.3866935483870972</v>
      </c>
      <c r="M12" s="3">
        <v>-0.29260752688172065</v>
      </c>
      <c r="N12" s="3">
        <v>-1.1467741935483871</v>
      </c>
      <c r="O12" s="3">
        <v>-1.243010752688172</v>
      </c>
      <c r="P12" s="3">
        <v>76.046102150537536</v>
      </c>
      <c r="Q12" s="3">
        <v>70.728494623655948</v>
      </c>
      <c r="R12" s="3">
        <v>72.631586021505441</v>
      </c>
      <c r="S12" s="3">
        <v>72.074999999999832</v>
      </c>
      <c r="T12" s="3">
        <v>74.077822580645062</v>
      </c>
      <c r="U12" s="3">
        <v>74.318682795698891</v>
      </c>
      <c r="V12" s="3"/>
      <c r="W12" s="3"/>
      <c r="X12" s="3"/>
      <c r="Y12" s="3"/>
      <c r="Z12" s="3"/>
      <c r="AA12" s="3"/>
      <c r="AB12" s="3"/>
      <c r="AC12" s="3">
        <v>3.0161290322580645</v>
      </c>
      <c r="AD12" s="3">
        <v>4.032258064516129</v>
      </c>
      <c r="AE12" s="3">
        <v>2.7645161290322577</v>
      </c>
      <c r="AF12" s="3">
        <v>1.6774193548387097</v>
      </c>
      <c r="AG12" s="3">
        <v>0.52903225806451604</v>
      </c>
      <c r="AH12" s="3">
        <v>0.27419354838709675</v>
      </c>
      <c r="AI12" s="6">
        <f t="shared" si="2"/>
        <v>4644.3517104130606</v>
      </c>
      <c r="AJ12" s="6">
        <f t="shared" si="3"/>
        <v>5.630106260165018</v>
      </c>
      <c r="AK12" s="3">
        <v>1.6354838709677419</v>
      </c>
      <c r="AL12" s="3">
        <v>0.4612903225806454</v>
      </c>
      <c r="AM12" s="3">
        <v>-0.76774193548387115</v>
      </c>
      <c r="AN12" s="3">
        <v>-2.7387096774193544</v>
      </c>
      <c r="AO12" s="3">
        <v>-4.435483870967742</v>
      </c>
      <c r="AP12" s="3">
        <v>-4.435483870967742</v>
      </c>
      <c r="AQ12" s="3">
        <v>44.883870967741935</v>
      </c>
      <c r="AR12" s="3">
        <v>47.019354838709674</v>
      </c>
      <c r="AS12" s="3">
        <v>50.383870967741942</v>
      </c>
      <c r="AT12" s="3">
        <v>54.648387096774194</v>
      </c>
      <c r="AU12" s="3">
        <v>56.638709677419349</v>
      </c>
      <c r="AV12" s="3">
        <v>56.164516129032258</v>
      </c>
      <c r="AW12" s="21"/>
      <c r="AX12" s="21"/>
      <c r="AY12" s="20">
        <v>39203</v>
      </c>
      <c r="AZ12" s="21">
        <v>4950.3344268366263</v>
      </c>
      <c r="BA12" s="22">
        <v>-0.38</v>
      </c>
      <c r="BB12" s="22">
        <v>-0.38</v>
      </c>
      <c r="BC12" s="23">
        <v>-0.2</v>
      </c>
      <c r="BD12">
        <v>28.84</v>
      </c>
      <c r="BE12">
        <v>27.46</v>
      </c>
      <c r="BF12">
        <v>22.63</v>
      </c>
      <c r="BG12" s="9"/>
      <c r="BH12" s="9"/>
      <c r="BI12" s="9"/>
      <c r="BJ12" s="9"/>
      <c r="BO12" s="10">
        <v>2009</v>
      </c>
      <c r="BP12" s="24">
        <v>-0.8</v>
      </c>
      <c r="BQ12" s="24">
        <v>-0.8</v>
      </c>
      <c r="BR12" s="24">
        <v>-0.6</v>
      </c>
      <c r="BS12" s="27">
        <v>-0.3</v>
      </c>
      <c r="BT12" s="27">
        <v>0</v>
      </c>
      <c r="BU12" s="27">
        <v>0.3</v>
      </c>
      <c r="BV12" s="28">
        <v>0.5</v>
      </c>
      <c r="BW12" s="28">
        <v>0.6</v>
      </c>
      <c r="BX12" s="28">
        <v>0.7</v>
      </c>
      <c r="BY12" s="28">
        <v>1</v>
      </c>
      <c r="BZ12" s="28">
        <v>1.4</v>
      </c>
      <c r="CA12" s="28">
        <v>1.6</v>
      </c>
      <c r="CC12">
        <v>2009</v>
      </c>
      <c r="CD12">
        <v>27.37</v>
      </c>
      <c r="CE12">
        <v>27.35</v>
      </c>
      <c r="CF12">
        <v>27.74</v>
      </c>
      <c r="CG12">
        <v>28.37</v>
      </c>
      <c r="CH12">
        <v>28.9</v>
      </c>
      <c r="CI12">
        <v>29.14</v>
      </c>
      <c r="CJ12">
        <v>29.19</v>
      </c>
      <c r="CK12">
        <v>29.23</v>
      </c>
      <c r="CL12">
        <v>29.33</v>
      </c>
      <c r="CM12">
        <v>29.68</v>
      </c>
      <c r="CN12">
        <v>29.82</v>
      </c>
      <c r="CO12">
        <v>29.72</v>
      </c>
      <c r="CQ12">
        <v>2009</v>
      </c>
      <c r="CR12">
        <v>24.4</v>
      </c>
      <c r="CS12">
        <v>25.42</v>
      </c>
      <c r="CT12">
        <v>25.67</v>
      </c>
      <c r="CU12">
        <v>25.94</v>
      </c>
      <c r="CV12">
        <v>24.76</v>
      </c>
      <c r="CW12">
        <v>23.78</v>
      </c>
      <c r="CX12">
        <v>22.71</v>
      </c>
      <c r="CY12">
        <v>21.85</v>
      </c>
      <c r="CZ12">
        <v>21.23</v>
      </c>
      <c r="DA12">
        <v>21.34</v>
      </c>
      <c r="DB12">
        <v>21.99</v>
      </c>
      <c r="DC12">
        <v>23.41</v>
      </c>
      <c r="DE12">
        <v>2009</v>
      </c>
      <c r="DF12">
        <v>25.66</v>
      </c>
      <c r="DG12">
        <v>25.96</v>
      </c>
      <c r="DH12">
        <v>26.59</v>
      </c>
      <c r="DI12">
        <v>27.47</v>
      </c>
      <c r="DJ12">
        <v>27.99</v>
      </c>
      <c r="DK12">
        <v>28.04</v>
      </c>
      <c r="DL12">
        <v>27.78</v>
      </c>
      <c r="DM12">
        <v>27.42</v>
      </c>
      <c r="DN12">
        <v>27.4</v>
      </c>
      <c r="DO12">
        <v>27.6</v>
      </c>
      <c r="DP12">
        <v>28.16</v>
      </c>
      <c r="DQ12">
        <v>28.34</v>
      </c>
      <c r="DS12">
        <v>2009</v>
      </c>
      <c r="DT12">
        <v>0.79300000000000004</v>
      </c>
      <c r="DU12">
        <v>0.753</v>
      </c>
      <c r="DV12">
        <v>0.51400000000000001</v>
      </c>
      <c r="DW12">
        <v>0.107</v>
      </c>
      <c r="DX12">
        <v>-0.28399999999999997</v>
      </c>
      <c r="DY12">
        <v>-0.47599999999999998</v>
      </c>
      <c r="DZ12">
        <v>-0.84799999999999998</v>
      </c>
      <c r="EA12">
        <v>-1.3089999999999999</v>
      </c>
      <c r="EB12">
        <v>-1.6870000000000001</v>
      </c>
      <c r="EC12">
        <v>-2.0249999999999999</v>
      </c>
      <c r="ED12">
        <v>-2.4180000000000001</v>
      </c>
      <c r="EE12">
        <v>-2.5710000000000002</v>
      </c>
      <c r="EG12" s="25">
        <v>2009</v>
      </c>
      <c r="EH12">
        <v>0.61</v>
      </c>
      <c r="EI12">
        <v>-0.95</v>
      </c>
      <c r="EJ12">
        <v>-1.02</v>
      </c>
      <c r="EK12">
        <v>0.21</v>
      </c>
      <c r="EL12">
        <v>-0.57999999999999996</v>
      </c>
      <c r="EM12">
        <v>0.35</v>
      </c>
      <c r="EN12">
        <v>1.22</v>
      </c>
      <c r="EO12">
        <v>0.65</v>
      </c>
      <c r="EP12">
        <v>1.29</v>
      </c>
      <c r="EQ12">
        <v>0.43</v>
      </c>
      <c r="ER12">
        <v>0.21</v>
      </c>
      <c r="ES12">
        <v>0.34</v>
      </c>
      <c r="EU12" s="25">
        <v>2009</v>
      </c>
      <c r="EV12">
        <v>2.02</v>
      </c>
      <c r="EW12">
        <v>0.94</v>
      </c>
      <c r="EX12">
        <v>0.5</v>
      </c>
      <c r="EY12">
        <v>-0.43</v>
      </c>
      <c r="EZ12">
        <v>-0.14000000000000001</v>
      </c>
      <c r="FA12">
        <v>0.54</v>
      </c>
      <c r="FB12">
        <v>-0.13</v>
      </c>
      <c r="FC12">
        <v>-2.44</v>
      </c>
      <c r="FD12">
        <v>-0.78</v>
      </c>
      <c r="FE12">
        <v>1.47</v>
      </c>
      <c r="FF12">
        <v>-1.2</v>
      </c>
      <c r="FG12">
        <v>1.0900000000000001</v>
      </c>
      <c r="FI12" s="25">
        <v>2009</v>
      </c>
      <c r="FJ12">
        <v>-0.01</v>
      </c>
      <c r="FK12">
        <v>0.06</v>
      </c>
      <c r="FL12">
        <v>0.56999999999999995</v>
      </c>
      <c r="FM12">
        <v>-0.2</v>
      </c>
      <c r="FN12">
        <v>1.68</v>
      </c>
      <c r="FO12">
        <v>-1.21</v>
      </c>
      <c r="FP12">
        <v>-2.15</v>
      </c>
      <c r="FQ12">
        <v>-0.19</v>
      </c>
      <c r="FR12">
        <v>1.51</v>
      </c>
      <c r="FS12">
        <v>-1.03</v>
      </c>
      <c r="FT12">
        <v>-0.02</v>
      </c>
      <c r="FU12">
        <v>-1.93</v>
      </c>
    </row>
    <row r="13" spans="1:304" ht="15" thickBot="1">
      <c r="A13" s="20">
        <v>39234</v>
      </c>
      <c r="B13" s="3">
        <v>8.7868055555555564</v>
      </c>
      <c r="C13" s="3">
        <v>8.9388888888888882</v>
      </c>
      <c r="D13" s="3">
        <v>6.4938888888888879</v>
      </c>
      <c r="E13" s="3">
        <v>4.5465277777777775</v>
      </c>
      <c r="F13" s="3">
        <v>2.9211111111111125</v>
      </c>
      <c r="G13" s="3">
        <v>2.8743055555555554</v>
      </c>
      <c r="H13" s="6">
        <f t="shared" si="0"/>
        <v>4826.8605974545271</v>
      </c>
      <c r="I13" s="6">
        <f t="shared" si="1"/>
        <v>9.6878143700565023</v>
      </c>
      <c r="J13" s="3">
        <v>0.3305555555555551</v>
      </c>
      <c r="K13" s="3">
        <v>-1.6144444444444443</v>
      </c>
      <c r="L13" s="3">
        <v>-2.3426388888888905</v>
      </c>
      <c r="M13" s="3">
        <v>-3.6981944444444474</v>
      </c>
      <c r="N13" s="3">
        <v>-4.6729166666666657</v>
      </c>
      <c r="O13" s="3">
        <v>-4.7027777777777766</v>
      </c>
      <c r="P13" s="3">
        <v>60.454305555555464</v>
      </c>
      <c r="Q13" s="3">
        <v>50.487222222222115</v>
      </c>
      <c r="R13" s="3">
        <v>56.009861111111142</v>
      </c>
      <c r="S13" s="3">
        <v>57.332499999999911</v>
      </c>
      <c r="T13" s="3">
        <v>59.481805555555418</v>
      </c>
      <c r="U13" s="3">
        <v>60.217916666666568</v>
      </c>
      <c r="V13" s="3"/>
      <c r="W13" s="3"/>
      <c r="X13" s="3"/>
      <c r="Y13" s="3"/>
      <c r="Z13" s="3"/>
      <c r="AA13" s="3"/>
      <c r="AB13" s="3"/>
      <c r="AC13" s="3">
        <v>1.7666666666666666</v>
      </c>
      <c r="AD13" s="3">
        <v>4.4000000000000004</v>
      </c>
      <c r="AE13" s="3">
        <v>2.6133333333333337</v>
      </c>
      <c r="AF13" s="3">
        <v>1.1833333333333333</v>
      </c>
      <c r="AG13" s="3">
        <v>-3.666666666666666E-2</v>
      </c>
      <c r="AH13" s="3">
        <v>-0.8</v>
      </c>
      <c r="AI13" s="6">
        <f t="shared" si="2"/>
        <v>4528.2022403469555</v>
      </c>
      <c r="AJ13" s="6">
        <f t="shared" si="3"/>
        <v>7.1409729017629529</v>
      </c>
      <c r="AK13" s="3">
        <v>-2.1599999999999997</v>
      </c>
      <c r="AL13" s="3">
        <v>-4.0333333333333341</v>
      </c>
      <c r="AM13" s="3">
        <v>-4.7566666666666659</v>
      </c>
      <c r="AN13" s="3">
        <v>-6.3266666666666671</v>
      </c>
      <c r="AO13" s="3">
        <v>-8.336666666666666</v>
      </c>
      <c r="AP13" s="3">
        <v>-8.336666666666666</v>
      </c>
      <c r="AQ13" s="3">
        <v>29.433333333333334</v>
      </c>
      <c r="AR13" s="3">
        <v>31.583333333333339</v>
      </c>
      <c r="AS13" s="3">
        <v>35.370000000000005</v>
      </c>
      <c r="AT13" s="3">
        <v>41.476666666666674</v>
      </c>
      <c r="AU13" s="3">
        <v>42.153333333333329</v>
      </c>
      <c r="AV13" s="3">
        <v>42.62</v>
      </c>
      <c r="AW13" s="21"/>
      <c r="AX13" s="21"/>
      <c r="AY13" s="20">
        <v>39234</v>
      </c>
      <c r="AZ13" s="21">
        <v>4826.8605974545271</v>
      </c>
      <c r="BA13" s="22">
        <v>-0.47</v>
      </c>
      <c r="BB13" s="22">
        <v>-0.47</v>
      </c>
      <c r="BC13" s="23">
        <v>0.9</v>
      </c>
      <c r="BD13">
        <v>28.9</v>
      </c>
      <c r="BE13">
        <v>27.37</v>
      </c>
      <c r="BF13">
        <v>21.52</v>
      </c>
      <c r="BG13" s="9"/>
      <c r="BH13" s="9"/>
      <c r="BI13" s="9"/>
      <c r="BJ13" s="9"/>
      <c r="BO13" s="10">
        <v>2010</v>
      </c>
      <c r="BP13" s="28">
        <v>1.5</v>
      </c>
      <c r="BQ13" s="28">
        <v>1.2</v>
      </c>
      <c r="BR13" s="28">
        <v>0.8</v>
      </c>
      <c r="BS13" s="27">
        <v>0.4</v>
      </c>
      <c r="BT13" s="27">
        <v>-0.2</v>
      </c>
      <c r="BU13" s="24">
        <v>-0.7</v>
      </c>
      <c r="BV13" s="24">
        <v>-1</v>
      </c>
      <c r="BW13" s="24">
        <v>-1.3</v>
      </c>
      <c r="BX13" s="24">
        <v>-1.6</v>
      </c>
      <c r="BY13" s="24">
        <v>-1.6</v>
      </c>
      <c r="BZ13" s="24">
        <v>-1.6</v>
      </c>
      <c r="CA13" s="24">
        <v>-1.6</v>
      </c>
      <c r="CC13">
        <v>2010</v>
      </c>
      <c r="CD13">
        <v>29.44</v>
      </c>
      <c r="CE13">
        <v>29.08</v>
      </c>
      <c r="CF13">
        <v>29.07</v>
      </c>
      <c r="CG13">
        <v>29.13</v>
      </c>
      <c r="CH13">
        <v>29.01</v>
      </c>
      <c r="CI13">
        <v>28.66</v>
      </c>
      <c r="CJ13">
        <v>28.1</v>
      </c>
      <c r="CK13">
        <v>27.54</v>
      </c>
      <c r="CL13">
        <v>27.32</v>
      </c>
      <c r="CM13">
        <v>27.15</v>
      </c>
      <c r="CN13">
        <v>27.11</v>
      </c>
      <c r="CO13">
        <v>27.09</v>
      </c>
      <c r="CQ13">
        <v>2010</v>
      </c>
      <c r="CR13">
        <v>24.85</v>
      </c>
      <c r="CS13">
        <v>26.22</v>
      </c>
      <c r="CT13">
        <v>26.56</v>
      </c>
      <c r="CU13">
        <v>25.43</v>
      </c>
      <c r="CV13">
        <v>24.65</v>
      </c>
      <c r="CW13">
        <v>23.14</v>
      </c>
      <c r="CX13">
        <v>20.93</v>
      </c>
      <c r="CY13">
        <v>19.7</v>
      </c>
      <c r="CZ13">
        <v>19.5</v>
      </c>
      <c r="DA13">
        <v>19.73</v>
      </c>
      <c r="DB13">
        <v>20.34</v>
      </c>
      <c r="DC13">
        <v>21.91</v>
      </c>
      <c r="DE13">
        <v>2010</v>
      </c>
      <c r="DF13">
        <v>28.07</v>
      </c>
      <c r="DG13">
        <v>28.01</v>
      </c>
      <c r="DH13">
        <v>28.18</v>
      </c>
      <c r="DI13">
        <v>28.2</v>
      </c>
      <c r="DJ13">
        <v>27.71</v>
      </c>
      <c r="DK13">
        <v>27.04</v>
      </c>
      <c r="DL13">
        <v>26.22</v>
      </c>
      <c r="DM13">
        <v>25.47</v>
      </c>
      <c r="DN13">
        <v>25.12</v>
      </c>
      <c r="DO13">
        <v>25.03</v>
      </c>
      <c r="DP13">
        <v>25.06</v>
      </c>
      <c r="DQ13">
        <v>25</v>
      </c>
      <c r="DS13">
        <v>2010</v>
      </c>
      <c r="DT13">
        <v>-2.649</v>
      </c>
      <c r="DU13">
        <v>-2.3980000000000001</v>
      </c>
      <c r="DV13">
        <v>-2.1269999999999998</v>
      </c>
      <c r="DW13">
        <v>-1.75</v>
      </c>
      <c r="DX13">
        <v>-1.548</v>
      </c>
      <c r="DY13">
        <v>-0.95699999999999996</v>
      </c>
      <c r="DZ13">
        <v>-0.56399999999999995</v>
      </c>
      <c r="EA13">
        <v>-0.218</v>
      </c>
      <c r="EB13">
        <v>0.113</v>
      </c>
      <c r="EC13">
        <v>0.68100000000000005</v>
      </c>
      <c r="ED13">
        <v>1.167</v>
      </c>
      <c r="EE13">
        <v>1.53</v>
      </c>
      <c r="EG13" s="25">
        <v>2010</v>
      </c>
      <c r="EH13">
        <v>1.25</v>
      </c>
      <c r="EI13">
        <v>0.57999999999999996</v>
      </c>
      <c r="EJ13">
        <v>2.02</v>
      </c>
      <c r="EK13">
        <v>1.54</v>
      </c>
      <c r="EL13">
        <v>-0.93</v>
      </c>
      <c r="EM13">
        <v>-0.2</v>
      </c>
      <c r="EN13">
        <v>1.4</v>
      </c>
      <c r="EO13">
        <v>1.1000000000000001</v>
      </c>
      <c r="EP13">
        <v>1.34</v>
      </c>
      <c r="EQ13">
        <v>1.8</v>
      </c>
      <c r="ER13">
        <v>-0.84</v>
      </c>
      <c r="ES13">
        <v>-1.78</v>
      </c>
      <c r="EU13" s="25">
        <v>2010</v>
      </c>
      <c r="EV13">
        <v>-0.4</v>
      </c>
      <c r="EW13">
        <v>-2.12</v>
      </c>
      <c r="EX13">
        <v>0.04</v>
      </c>
      <c r="EY13">
        <v>0.08</v>
      </c>
      <c r="EZ13">
        <v>1.51</v>
      </c>
      <c r="FA13">
        <v>3.14</v>
      </c>
      <c r="FB13">
        <v>3.37</v>
      </c>
      <c r="FC13">
        <v>1.24</v>
      </c>
      <c r="FD13">
        <v>-0.33</v>
      </c>
      <c r="FE13">
        <v>3.19</v>
      </c>
      <c r="FF13">
        <v>3.88</v>
      </c>
      <c r="FG13">
        <v>0.25</v>
      </c>
      <c r="FI13" s="25">
        <v>2010</v>
      </c>
      <c r="FJ13">
        <v>-1.1100000000000001</v>
      </c>
      <c r="FK13">
        <v>-1.98</v>
      </c>
      <c r="FL13">
        <v>-0.88</v>
      </c>
      <c r="FM13">
        <v>-0.72</v>
      </c>
      <c r="FN13">
        <v>-1.49</v>
      </c>
      <c r="FO13">
        <v>-0.82</v>
      </c>
      <c r="FP13">
        <v>-0.42</v>
      </c>
      <c r="FQ13">
        <v>-1.22</v>
      </c>
      <c r="FR13">
        <v>-0.79</v>
      </c>
      <c r="FS13">
        <v>-0.93</v>
      </c>
      <c r="FT13">
        <v>-1.62</v>
      </c>
      <c r="FU13">
        <v>-1.85</v>
      </c>
    </row>
    <row r="14" spans="1:304" ht="15" thickBot="1">
      <c r="A14" s="20">
        <v>39264</v>
      </c>
      <c r="B14" s="3">
        <v>8.573924731182796</v>
      </c>
      <c r="C14" s="3">
        <v>7.7040322580645135</v>
      </c>
      <c r="D14" s="3">
        <v>5.6987012987012982</v>
      </c>
      <c r="E14" s="3">
        <v>3.9044045676998311</v>
      </c>
      <c r="F14" s="3">
        <v>1.5104838709677437</v>
      </c>
      <c r="G14" s="3">
        <v>2.3208333333333351</v>
      </c>
      <c r="H14" s="6">
        <f t="shared" si="0"/>
        <v>4719.2363937598411</v>
      </c>
      <c r="I14" s="6">
        <f t="shared" si="1"/>
        <v>9.9102003570404804</v>
      </c>
      <c r="J14" s="3">
        <v>0.83951612903225747</v>
      </c>
      <c r="K14" s="3">
        <v>4.1935483870967072E-2</v>
      </c>
      <c r="L14" s="3">
        <v>-2.1978354978354999</v>
      </c>
      <c r="M14" s="3">
        <v>-3.4676998368678658</v>
      </c>
      <c r="N14" s="3">
        <v>-2.9404569892473145</v>
      </c>
      <c r="O14" s="3">
        <v>-2.8204301075268856</v>
      </c>
      <c r="P14" s="3">
        <v>62.572580645161146</v>
      </c>
      <c r="Q14" s="3">
        <v>60.980779569892427</v>
      </c>
      <c r="R14" s="3">
        <v>58.972294372294392</v>
      </c>
      <c r="S14" s="3">
        <v>61.490538336052175</v>
      </c>
      <c r="T14" s="3">
        <v>72.976075268817226</v>
      </c>
      <c r="U14" s="3">
        <v>70.534139784946206</v>
      </c>
      <c r="V14" s="3"/>
      <c r="W14" s="3"/>
      <c r="X14" s="3"/>
      <c r="Y14" s="3"/>
      <c r="Z14" s="3"/>
      <c r="AA14" s="3"/>
      <c r="AB14" s="3"/>
      <c r="AC14" s="3">
        <v>1.7258064516129032</v>
      </c>
      <c r="AD14" s="3">
        <v>3.1129032258064511</v>
      </c>
      <c r="AE14" s="3">
        <v>1.95</v>
      </c>
      <c r="AF14" s="3">
        <v>0.57692307692307676</v>
      </c>
      <c r="AG14" s="3">
        <v>-2.5935483870967744</v>
      </c>
      <c r="AH14" s="3">
        <v>-1.2612903225806451</v>
      </c>
      <c r="AI14" s="6">
        <f t="shared" si="2"/>
        <v>4327.5835088774047</v>
      </c>
      <c r="AJ14" s="6">
        <f t="shared" si="3"/>
        <v>9.0502331045550246</v>
      </c>
      <c r="AK14" s="3">
        <v>-1.6580645161290326</v>
      </c>
      <c r="AL14" s="3">
        <v>-1.9290322580645163</v>
      </c>
      <c r="AM14" s="3">
        <v>-4.3100000000000005</v>
      </c>
      <c r="AN14" s="3">
        <v>-5.3692307692307688</v>
      </c>
      <c r="AO14" s="3">
        <v>-5.6129032258064528</v>
      </c>
      <c r="AP14" s="3">
        <v>-5.4709677419354845</v>
      </c>
      <c r="AQ14" s="3">
        <v>33.054838709677419</v>
      </c>
      <c r="AR14" s="3">
        <v>38.703225806451613</v>
      </c>
      <c r="AS14" s="3">
        <v>38.149999999999991</v>
      </c>
      <c r="AT14" s="3">
        <v>44.815384615384609</v>
      </c>
      <c r="AU14" s="3">
        <v>49.380645161290332</v>
      </c>
      <c r="AV14" s="3">
        <v>50.864516129032246</v>
      </c>
      <c r="AW14" s="21"/>
      <c r="AX14" s="21"/>
      <c r="AY14" s="20">
        <v>39264</v>
      </c>
      <c r="AZ14" s="21">
        <v>4719.2363937598411</v>
      </c>
      <c r="BA14" s="29">
        <v>-0.56000000000000005</v>
      </c>
      <c r="BB14" s="29">
        <v>-0.56000000000000005</v>
      </c>
      <c r="BC14" s="23">
        <v>-0.5</v>
      </c>
      <c r="BD14">
        <v>28.68</v>
      </c>
      <c r="BE14">
        <v>26.71</v>
      </c>
      <c r="BF14">
        <v>20.98</v>
      </c>
      <c r="BG14" s="9"/>
      <c r="BH14" s="9"/>
      <c r="BI14" s="9"/>
      <c r="BJ14" s="9"/>
      <c r="BO14" s="10">
        <v>2011</v>
      </c>
      <c r="BP14" s="24">
        <v>-1.4</v>
      </c>
      <c r="BQ14" s="24">
        <v>-1.2</v>
      </c>
      <c r="BR14" s="24">
        <v>-0.9</v>
      </c>
      <c r="BS14" s="24">
        <v>-0.7</v>
      </c>
      <c r="BT14" s="24">
        <v>-0.6</v>
      </c>
      <c r="BU14" s="27">
        <v>-0.4</v>
      </c>
      <c r="BV14" s="24">
        <v>-0.5</v>
      </c>
      <c r="BW14" s="24">
        <v>-0.6</v>
      </c>
      <c r="BX14" s="24">
        <v>-0.8</v>
      </c>
      <c r="BY14" s="24">
        <v>-1</v>
      </c>
      <c r="BZ14" s="24">
        <v>-1.1000000000000001</v>
      </c>
      <c r="CA14" s="24">
        <v>-1</v>
      </c>
      <c r="CC14">
        <v>2011</v>
      </c>
      <c r="CD14">
        <v>26.92</v>
      </c>
      <c r="CE14">
        <v>27.15</v>
      </c>
      <c r="CF14">
        <v>27.51</v>
      </c>
      <c r="CG14">
        <v>27.89</v>
      </c>
      <c r="CH14">
        <v>28.35</v>
      </c>
      <c r="CI14">
        <v>28.46</v>
      </c>
      <c r="CJ14">
        <v>28.42</v>
      </c>
      <c r="CK14">
        <v>28.16</v>
      </c>
      <c r="CL14">
        <v>28</v>
      </c>
      <c r="CM14">
        <v>27.86</v>
      </c>
      <c r="CN14">
        <v>27.8</v>
      </c>
      <c r="CO14">
        <v>27.53</v>
      </c>
      <c r="CQ14">
        <v>2011</v>
      </c>
      <c r="CR14">
        <v>24.08</v>
      </c>
      <c r="CS14">
        <v>25.94</v>
      </c>
      <c r="CT14">
        <v>25.61</v>
      </c>
      <c r="CU14">
        <v>25.34</v>
      </c>
      <c r="CV14">
        <v>24.53</v>
      </c>
      <c r="CW14">
        <v>23.42</v>
      </c>
      <c r="CX14">
        <v>22.06</v>
      </c>
      <c r="CY14">
        <v>20.79</v>
      </c>
      <c r="CZ14">
        <v>19.989999999999998</v>
      </c>
      <c r="DA14">
        <v>20.239999999999998</v>
      </c>
      <c r="DB14">
        <v>21.09</v>
      </c>
      <c r="DC14">
        <v>22.13</v>
      </c>
      <c r="DE14">
        <v>2011</v>
      </c>
      <c r="DF14">
        <v>25</v>
      </c>
      <c r="DG14">
        <v>25.64</v>
      </c>
      <c r="DH14">
        <v>26.36</v>
      </c>
      <c r="DI14">
        <v>27.05</v>
      </c>
      <c r="DJ14">
        <v>27.41</v>
      </c>
      <c r="DK14">
        <v>27.35</v>
      </c>
      <c r="DL14">
        <v>26.87</v>
      </c>
      <c r="DM14">
        <v>26.21</v>
      </c>
      <c r="DN14">
        <v>25.92</v>
      </c>
      <c r="DO14">
        <v>25.67</v>
      </c>
      <c r="DP14">
        <v>25.52</v>
      </c>
      <c r="DQ14">
        <v>25.54</v>
      </c>
      <c r="DS14">
        <v>2011</v>
      </c>
      <c r="DT14">
        <v>1.5229999999999999</v>
      </c>
      <c r="DU14">
        <v>1.577</v>
      </c>
      <c r="DV14">
        <v>1.546</v>
      </c>
      <c r="DW14">
        <v>1.2709999999999999</v>
      </c>
      <c r="DX14">
        <v>0.84399999999999997</v>
      </c>
      <c r="DY14">
        <v>0.67500000000000004</v>
      </c>
      <c r="DZ14">
        <v>0.38700000000000001</v>
      </c>
      <c r="EA14">
        <v>0.16800000000000001</v>
      </c>
      <c r="EB14">
        <v>-2.9000000000000001E-2</v>
      </c>
      <c r="EC14">
        <v>7.0000000000000007E-2</v>
      </c>
      <c r="ED14">
        <v>0.36299999999999999</v>
      </c>
      <c r="EE14">
        <v>0.84399999999999997</v>
      </c>
      <c r="EG14" s="25">
        <v>2011</v>
      </c>
      <c r="EH14">
        <v>1.29</v>
      </c>
      <c r="EI14">
        <v>-1.58</v>
      </c>
      <c r="EJ14">
        <v>0.69</v>
      </c>
      <c r="EK14">
        <v>-1.59</v>
      </c>
      <c r="EL14">
        <v>0.19</v>
      </c>
      <c r="EM14">
        <v>0.22</v>
      </c>
      <c r="EN14">
        <v>-0.35</v>
      </c>
      <c r="EO14">
        <v>1.42</v>
      </c>
      <c r="EP14">
        <v>-0.42</v>
      </c>
      <c r="EQ14">
        <v>0.63</v>
      </c>
      <c r="ER14">
        <v>-0.79</v>
      </c>
      <c r="ES14">
        <v>0.36</v>
      </c>
      <c r="EU14" s="25">
        <v>2011</v>
      </c>
      <c r="EV14">
        <v>0.48</v>
      </c>
      <c r="EW14">
        <v>0.87</v>
      </c>
      <c r="EX14">
        <v>-0.79</v>
      </c>
      <c r="EY14">
        <v>1.62</v>
      </c>
      <c r="EZ14">
        <v>1.37</v>
      </c>
      <c r="FA14">
        <v>0.72</v>
      </c>
      <c r="FB14">
        <v>-1.52</v>
      </c>
      <c r="FC14">
        <v>-0.73</v>
      </c>
      <c r="FD14">
        <v>-1.79</v>
      </c>
      <c r="FE14">
        <v>0.59</v>
      </c>
      <c r="FF14">
        <v>-1.41</v>
      </c>
      <c r="FG14">
        <v>3.43</v>
      </c>
      <c r="FI14" s="25">
        <v>2011</v>
      </c>
      <c r="FJ14">
        <v>-0.88</v>
      </c>
      <c r="FK14">
        <v>0.7</v>
      </c>
      <c r="FL14">
        <v>0.61</v>
      </c>
      <c r="FM14">
        <v>2.48</v>
      </c>
      <c r="FN14">
        <v>-0.06</v>
      </c>
      <c r="FO14">
        <v>-1.28</v>
      </c>
      <c r="FP14">
        <v>-1.51</v>
      </c>
      <c r="FQ14">
        <v>-1.35</v>
      </c>
      <c r="FR14">
        <v>0.54</v>
      </c>
      <c r="FS14">
        <v>0.39</v>
      </c>
      <c r="FT14">
        <v>1.36</v>
      </c>
      <c r="FU14">
        <v>2.52</v>
      </c>
    </row>
    <row r="15" spans="1:304" ht="15" thickBot="1">
      <c r="A15" s="20">
        <v>39295</v>
      </c>
      <c r="B15" s="3">
        <v>9.073924731182796</v>
      </c>
      <c r="C15" s="3">
        <v>8.3813172043010873</v>
      </c>
      <c r="F15" s="3">
        <v>4.4559139784946176</v>
      </c>
      <c r="G15" s="3">
        <v>3.1486559139784904</v>
      </c>
      <c r="H15" s="6">
        <f t="shared" si="0"/>
        <v>5246.7645951035738</v>
      </c>
      <c r="I15" s="6">
        <f t="shared" si="1"/>
        <v>6.4882697947214378</v>
      </c>
      <c r="J15" s="3">
        <v>7.8763440860214667E-2</v>
      </c>
      <c r="K15" s="3">
        <v>-1.2512096774193553</v>
      </c>
      <c r="N15" s="3">
        <v>-4.1385752688172062</v>
      </c>
      <c r="O15" s="3">
        <v>-4.1385752688172062</v>
      </c>
      <c r="P15" s="3">
        <v>58.872983870967666</v>
      </c>
      <c r="Q15" s="3">
        <v>54.252150537634435</v>
      </c>
      <c r="T15" s="3">
        <v>57.336290322580659</v>
      </c>
      <c r="U15" s="3">
        <v>62.484543010752688</v>
      </c>
      <c r="V15" s="3">
        <v>1.09981777708821</v>
      </c>
      <c r="W15" s="3"/>
      <c r="X15" s="3">
        <v>212.11155913978399</v>
      </c>
      <c r="Y15" s="3">
        <v>5.8</v>
      </c>
      <c r="Z15" s="3">
        <v>7.4516129032257998</v>
      </c>
      <c r="AA15" s="3">
        <v>-0.44516129032258001</v>
      </c>
      <c r="AB15" s="3"/>
      <c r="AC15" s="3">
        <v>1.6290322580645162</v>
      </c>
      <c r="AD15" s="3">
        <v>3.2677419354838704</v>
      </c>
      <c r="AE15" s="3"/>
      <c r="AF15" s="3"/>
      <c r="AG15" s="3">
        <v>-1.6129032258064481E-2</v>
      </c>
      <c r="AH15" s="3">
        <v>-0.85161290322580663</v>
      </c>
      <c r="AI15" s="6">
        <f t="shared" si="2"/>
        <v>4557.0284872298625</v>
      </c>
      <c r="AJ15" s="6">
        <f t="shared" si="3"/>
        <v>5.4278858970941064</v>
      </c>
      <c r="AK15" s="3">
        <v>-2.3548387096774195</v>
      </c>
      <c r="AL15" s="3">
        <v>-3.4322580645161298</v>
      </c>
      <c r="AM15" s="3"/>
      <c r="AN15" s="3"/>
      <c r="AO15" s="3">
        <v>-7.6225806451612907</v>
      </c>
      <c r="AP15" s="3">
        <v>-7.6225806451612907</v>
      </c>
      <c r="AQ15" s="3">
        <v>26.35161290322581</v>
      </c>
      <c r="AR15" s="3">
        <v>30.380645161290317</v>
      </c>
      <c r="AS15" s="3"/>
      <c r="AT15" s="3"/>
      <c r="AU15" s="3">
        <v>33.638709677419357</v>
      </c>
      <c r="AV15" s="3">
        <v>41.922580645161275</v>
      </c>
      <c r="AW15" s="21"/>
      <c r="AX15" s="21"/>
      <c r="AY15" s="20">
        <v>39295</v>
      </c>
      <c r="AZ15" s="21">
        <v>5246.7645951035738</v>
      </c>
      <c r="BA15" s="29">
        <v>-0.81</v>
      </c>
      <c r="BB15" s="29">
        <v>-0.81</v>
      </c>
      <c r="BC15" s="23">
        <v>0.7</v>
      </c>
      <c r="BD15">
        <v>28.48</v>
      </c>
      <c r="BE15">
        <v>26.14</v>
      </c>
      <c r="BF15">
        <v>19.809999999999999</v>
      </c>
      <c r="BG15" s="9"/>
      <c r="BH15" s="9"/>
      <c r="BI15" s="9"/>
      <c r="BJ15" s="9"/>
      <c r="BO15" s="10">
        <v>2012</v>
      </c>
      <c r="BP15" s="24">
        <v>-0.9</v>
      </c>
      <c r="BQ15" s="24">
        <v>-0.7</v>
      </c>
      <c r="BR15" s="24">
        <v>-0.6</v>
      </c>
      <c r="BS15" s="24">
        <v>-0.5</v>
      </c>
      <c r="BT15" s="27">
        <v>-0.3</v>
      </c>
      <c r="BU15" s="27">
        <v>0</v>
      </c>
      <c r="BV15" s="27">
        <v>0.2</v>
      </c>
      <c r="BW15" s="27">
        <v>0.4</v>
      </c>
      <c r="BX15" s="27">
        <v>0.4</v>
      </c>
      <c r="BY15" s="27">
        <v>0.3</v>
      </c>
      <c r="BZ15" s="27">
        <v>0.1</v>
      </c>
      <c r="CA15" s="27">
        <v>-0.2</v>
      </c>
      <c r="CC15">
        <v>2012</v>
      </c>
      <c r="CD15">
        <v>27.3</v>
      </c>
      <c r="CE15">
        <v>27.29</v>
      </c>
      <c r="CF15">
        <v>27.56</v>
      </c>
      <c r="CG15">
        <v>28.03</v>
      </c>
      <c r="CH15">
        <v>28.4</v>
      </c>
      <c r="CI15">
        <v>28.58</v>
      </c>
      <c r="CJ15">
        <v>28.64</v>
      </c>
      <c r="CK15">
        <v>28.86</v>
      </c>
      <c r="CL15">
        <v>28.97</v>
      </c>
      <c r="CM15">
        <v>29.07</v>
      </c>
      <c r="CN15">
        <v>29</v>
      </c>
      <c r="CO15">
        <v>28.6</v>
      </c>
      <c r="CQ15">
        <v>2012</v>
      </c>
      <c r="CR15">
        <v>24.38</v>
      </c>
      <c r="CS15">
        <v>26.46</v>
      </c>
      <c r="CT15">
        <v>26.65</v>
      </c>
      <c r="CU15">
        <v>26.44</v>
      </c>
      <c r="CV15">
        <v>25.29</v>
      </c>
      <c r="CW15">
        <v>24.14</v>
      </c>
      <c r="CX15">
        <v>22.36</v>
      </c>
      <c r="CY15">
        <v>21.07</v>
      </c>
      <c r="CZ15">
        <v>20.79</v>
      </c>
      <c r="DA15">
        <v>20.65</v>
      </c>
      <c r="DB15">
        <v>21.24</v>
      </c>
      <c r="DC15">
        <v>21.96</v>
      </c>
      <c r="DE15">
        <v>2012</v>
      </c>
      <c r="DF15">
        <v>25.67</v>
      </c>
      <c r="DG15">
        <v>26.08</v>
      </c>
      <c r="DH15">
        <v>26.67</v>
      </c>
      <c r="DI15">
        <v>27.32</v>
      </c>
      <c r="DJ15">
        <v>27.61</v>
      </c>
      <c r="DK15">
        <v>27.75</v>
      </c>
      <c r="DL15">
        <v>27.54</v>
      </c>
      <c r="DM15">
        <v>27.32</v>
      </c>
      <c r="DN15">
        <v>27.1</v>
      </c>
      <c r="DO15">
        <v>26.98</v>
      </c>
      <c r="DP15">
        <v>26.86</v>
      </c>
      <c r="DQ15">
        <v>26.34</v>
      </c>
      <c r="DS15">
        <v>2012</v>
      </c>
      <c r="DT15">
        <v>1.0820000000000001</v>
      </c>
      <c r="DU15">
        <v>1.4790000000000001</v>
      </c>
      <c r="DV15">
        <v>1.613</v>
      </c>
      <c r="DW15">
        <v>1.5960000000000001</v>
      </c>
      <c r="DX15">
        <v>1.1910000000000001</v>
      </c>
      <c r="DY15">
        <v>0.60099999999999998</v>
      </c>
      <c r="DZ15">
        <v>-4.5999999999999999E-2</v>
      </c>
      <c r="EA15">
        <v>-0.71799999999999997</v>
      </c>
      <c r="EB15">
        <v>-1.4119999999999999</v>
      </c>
      <c r="EC15">
        <v>-1.74</v>
      </c>
      <c r="ED15">
        <v>-1.6259999999999999</v>
      </c>
      <c r="EE15">
        <v>-1.5149999999999999</v>
      </c>
      <c r="EG15" s="25">
        <v>2012</v>
      </c>
      <c r="EH15">
        <v>0.6</v>
      </c>
      <c r="EI15">
        <v>0.75</v>
      </c>
      <c r="EJ15">
        <v>0.11</v>
      </c>
      <c r="EK15">
        <v>0.15</v>
      </c>
      <c r="EL15">
        <v>-0.42</v>
      </c>
      <c r="EM15">
        <v>-0.5</v>
      </c>
      <c r="EN15">
        <v>-0.16</v>
      </c>
      <c r="EO15">
        <v>-0.17</v>
      </c>
      <c r="EP15">
        <v>-0.42</v>
      </c>
      <c r="EQ15">
        <v>-1.18</v>
      </c>
      <c r="ER15">
        <v>-1.1000000000000001</v>
      </c>
      <c r="ES15">
        <v>-1.01</v>
      </c>
      <c r="EU15" s="25">
        <v>2012</v>
      </c>
      <c r="EV15">
        <v>3.08</v>
      </c>
      <c r="EW15">
        <v>-1.53</v>
      </c>
      <c r="EX15">
        <v>0.48</v>
      </c>
      <c r="EY15">
        <v>2.1800000000000002</v>
      </c>
      <c r="EZ15">
        <v>0.47</v>
      </c>
      <c r="FA15">
        <v>1.46</v>
      </c>
      <c r="FB15">
        <v>3.18</v>
      </c>
      <c r="FC15">
        <v>1.34</v>
      </c>
      <c r="FD15">
        <v>0.09</v>
      </c>
      <c r="FE15">
        <v>0.83</v>
      </c>
      <c r="FF15">
        <v>-0.84</v>
      </c>
      <c r="FG15">
        <v>-0.9</v>
      </c>
      <c r="FI15" s="25">
        <v>2012</v>
      </c>
      <c r="FJ15">
        <v>1.17</v>
      </c>
      <c r="FK15">
        <v>0.42</v>
      </c>
      <c r="FL15">
        <v>1.27</v>
      </c>
      <c r="FM15">
        <v>0.47</v>
      </c>
      <c r="FN15">
        <v>-0.91</v>
      </c>
      <c r="FO15">
        <v>-2.5299999999999998</v>
      </c>
      <c r="FP15">
        <v>-1.32</v>
      </c>
      <c r="FQ15">
        <v>-0.98</v>
      </c>
      <c r="FR15">
        <v>-0.59</v>
      </c>
      <c r="FS15">
        <v>-2.06</v>
      </c>
      <c r="FT15">
        <v>-0.57999999999999996</v>
      </c>
      <c r="FU15">
        <v>0.17</v>
      </c>
    </row>
    <row r="16" spans="1:304" ht="15" thickBot="1">
      <c r="A16" s="20">
        <v>39326</v>
      </c>
      <c r="B16" s="3">
        <v>9.5104166666666661</v>
      </c>
      <c r="C16" s="3">
        <v>8.298750000000009</v>
      </c>
      <c r="F16" s="3">
        <v>3.7024999999999939</v>
      </c>
      <c r="G16" s="3">
        <v>2.021111111111114</v>
      </c>
      <c r="H16" s="6">
        <f t="shared" si="0"/>
        <v>5047.3565406581429</v>
      </c>
      <c r="I16" s="6">
        <f t="shared" si="1"/>
        <v>7.5971074380165531</v>
      </c>
      <c r="J16" s="3">
        <v>1.2812500000000013</v>
      </c>
      <c r="K16" s="3">
        <v>0.54652777777777783</v>
      </c>
      <c r="N16" s="3">
        <v>-1.7145833333333371</v>
      </c>
      <c r="O16" s="3">
        <v>-1.7145833333333371</v>
      </c>
      <c r="P16" s="3">
        <v>60.478749999999877</v>
      </c>
      <c r="Q16" s="3">
        <v>60.330833333333352</v>
      </c>
      <c r="T16" s="3">
        <v>69.500972222222302</v>
      </c>
      <c r="U16" s="3">
        <v>77.88055555555556</v>
      </c>
      <c r="V16" s="3">
        <v>1.7141786802599699</v>
      </c>
      <c r="W16" s="3"/>
      <c r="X16" s="3">
        <v>210.777083333333</v>
      </c>
      <c r="Y16" s="3">
        <v>14.2</v>
      </c>
      <c r="Z16" s="3">
        <v>8.3259722222222194</v>
      </c>
      <c r="AA16" s="3">
        <v>0.88500000000000001</v>
      </c>
      <c r="AB16" s="3"/>
      <c r="AC16" s="3">
        <v>3.05</v>
      </c>
      <c r="AD16" s="3">
        <v>4.4466666666666663</v>
      </c>
      <c r="AE16" s="3"/>
      <c r="AF16" s="3"/>
      <c r="AG16" s="3">
        <v>0.17</v>
      </c>
      <c r="AH16" s="3">
        <v>-0.94666666666666688</v>
      </c>
      <c r="AI16" s="6">
        <f t="shared" si="2"/>
        <v>4584.0491036632893</v>
      </c>
      <c r="AJ16" s="6">
        <f t="shared" si="3"/>
        <v>7.0688705234159777</v>
      </c>
      <c r="AK16" s="3">
        <v>-0.45333333333333337</v>
      </c>
      <c r="AL16" s="3">
        <v>-0.80666666666666687</v>
      </c>
      <c r="AM16" s="3"/>
      <c r="AN16" s="3"/>
      <c r="AO16" s="3">
        <v>-3.4599999999999991</v>
      </c>
      <c r="AP16" s="3">
        <v>-3.4599999999999991</v>
      </c>
      <c r="AQ16" s="3">
        <v>31.9</v>
      </c>
      <c r="AR16" s="3">
        <v>39.753333333333345</v>
      </c>
      <c r="AS16" s="3"/>
      <c r="AT16" s="3"/>
      <c r="AU16" s="3">
        <v>47.776666666666657</v>
      </c>
      <c r="AV16" s="3">
        <v>58.659999999999989</v>
      </c>
      <c r="AW16" s="21"/>
      <c r="AX16" s="21"/>
      <c r="AY16" s="20">
        <v>39326</v>
      </c>
      <c r="AZ16" s="21">
        <v>5047.3565406581429</v>
      </c>
      <c r="BA16" s="29">
        <v>-1.07</v>
      </c>
      <c r="BB16" s="29">
        <v>-1.07</v>
      </c>
      <c r="BC16" s="23">
        <v>0.3</v>
      </c>
      <c r="BD16">
        <v>28.11</v>
      </c>
      <c r="BE16">
        <v>25.61</v>
      </c>
      <c r="BF16">
        <v>19.75</v>
      </c>
      <c r="BG16" s="9"/>
      <c r="BH16" s="9"/>
      <c r="BI16" s="9"/>
      <c r="BJ16" s="9"/>
      <c r="BO16" s="10">
        <v>2013</v>
      </c>
      <c r="BP16" s="27">
        <v>-0.4</v>
      </c>
      <c r="BQ16" s="27">
        <v>-0.4</v>
      </c>
      <c r="BR16" s="27">
        <v>-0.3</v>
      </c>
      <c r="BS16" s="27">
        <v>-0.3</v>
      </c>
      <c r="BT16" s="27">
        <v>-0.4</v>
      </c>
      <c r="BU16" s="27">
        <v>-0.4</v>
      </c>
      <c r="BV16" s="27">
        <v>-0.4</v>
      </c>
      <c r="BW16" s="27">
        <v>-0.3</v>
      </c>
      <c r="BX16" s="27">
        <v>-0.3</v>
      </c>
      <c r="BY16" s="27">
        <v>-0.2</v>
      </c>
      <c r="BZ16" s="27">
        <v>-0.2</v>
      </c>
      <c r="CA16" s="27">
        <v>-0.3</v>
      </c>
      <c r="CC16">
        <v>2013</v>
      </c>
      <c r="CD16">
        <v>28.24</v>
      </c>
      <c r="CE16">
        <v>28.01</v>
      </c>
      <c r="CF16">
        <v>27.95</v>
      </c>
      <c r="CG16">
        <v>28.36</v>
      </c>
      <c r="CH16">
        <v>28.69</v>
      </c>
      <c r="CI16">
        <v>28.77</v>
      </c>
      <c r="CJ16">
        <v>28.66</v>
      </c>
      <c r="CK16">
        <v>28.61</v>
      </c>
      <c r="CL16">
        <v>28.65</v>
      </c>
      <c r="CM16">
        <v>28.72</v>
      </c>
      <c r="CN16">
        <v>28.74</v>
      </c>
      <c r="CO16">
        <v>28.48</v>
      </c>
      <c r="CQ16">
        <v>2013</v>
      </c>
      <c r="CR16">
        <v>23.89</v>
      </c>
      <c r="CS16">
        <v>25.37</v>
      </c>
      <c r="CT16">
        <v>25.81</v>
      </c>
      <c r="CU16">
        <v>24.31</v>
      </c>
      <c r="CV16">
        <v>22.83</v>
      </c>
      <c r="CW16">
        <v>21.22</v>
      </c>
      <c r="CX16">
        <v>20.36</v>
      </c>
      <c r="CY16">
        <v>19.850000000000001</v>
      </c>
      <c r="CZ16">
        <v>19.95</v>
      </c>
      <c r="DA16">
        <v>20.27</v>
      </c>
      <c r="DB16">
        <v>21.09</v>
      </c>
      <c r="DC16">
        <v>22.37</v>
      </c>
      <c r="DE16">
        <v>2013</v>
      </c>
      <c r="DF16">
        <v>26.01</v>
      </c>
      <c r="DG16">
        <v>26.24</v>
      </c>
      <c r="DH16">
        <v>27.03</v>
      </c>
      <c r="DI16">
        <v>27.57</v>
      </c>
      <c r="DJ16">
        <v>27.53</v>
      </c>
      <c r="DK16">
        <v>27.3</v>
      </c>
      <c r="DL16">
        <v>26.91</v>
      </c>
      <c r="DM16">
        <v>26.47</v>
      </c>
      <c r="DN16">
        <v>26.54</v>
      </c>
      <c r="DO16">
        <v>26.52</v>
      </c>
      <c r="DP16">
        <v>26.56</v>
      </c>
      <c r="DQ16">
        <v>26.43</v>
      </c>
      <c r="DS16">
        <v>2013</v>
      </c>
      <c r="DT16">
        <v>-1.149</v>
      </c>
      <c r="DU16">
        <v>-0.999</v>
      </c>
      <c r="DV16">
        <v>-1.167</v>
      </c>
      <c r="DW16">
        <v>-1.528</v>
      </c>
      <c r="DX16">
        <v>-1.929</v>
      </c>
      <c r="DY16">
        <v>-2.379</v>
      </c>
      <c r="DZ16">
        <v>-2.3980000000000001</v>
      </c>
      <c r="EA16">
        <v>-2.1850000000000001</v>
      </c>
      <c r="EB16">
        <v>-1.9359999999999999</v>
      </c>
      <c r="EC16">
        <v>-1.583</v>
      </c>
      <c r="ED16">
        <v>-1.0429999999999999</v>
      </c>
      <c r="EE16">
        <v>-1.077</v>
      </c>
      <c r="EG16" s="25">
        <v>2013</v>
      </c>
      <c r="EH16">
        <v>0.55000000000000004</v>
      </c>
      <c r="EI16">
        <v>0.45</v>
      </c>
      <c r="EJ16">
        <v>0.04</v>
      </c>
      <c r="EK16">
        <v>-1.56</v>
      </c>
      <c r="EL16">
        <v>-0.36</v>
      </c>
      <c r="EM16">
        <v>-0.43</v>
      </c>
      <c r="EN16">
        <v>-0.31</v>
      </c>
      <c r="EO16">
        <v>-0.03</v>
      </c>
      <c r="EP16">
        <v>0.54</v>
      </c>
      <c r="EQ16">
        <v>-0.34</v>
      </c>
      <c r="ER16">
        <v>-1.18</v>
      </c>
      <c r="ES16">
        <v>-0.86</v>
      </c>
      <c r="EU16" s="25">
        <v>2013</v>
      </c>
      <c r="EV16">
        <v>0.71</v>
      </c>
      <c r="EW16">
        <v>2.84</v>
      </c>
      <c r="EX16">
        <v>2.31</v>
      </c>
      <c r="EY16">
        <v>-7.0000000000000007E-2</v>
      </c>
      <c r="EZ16">
        <v>0.88</v>
      </c>
      <c r="FA16">
        <v>0.23</v>
      </c>
      <c r="FB16">
        <v>1.17</v>
      </c>
      <c r="FC16">
        <v>-3.25</v>
      </c>
      <c r="FD16">
        <v>-2.72</v>
      </c>
      <c r="FE16">
        <v>-1.39</v>
      </c>
      <c r="FF16">
        <v>1.07</v>
      </c>
      <c r="FG16">
        <v>0.77</v>
      </c>
      <c r="FI16" s="25">
        <v>2013</v>
      </c>
      <c r="FJ16">
        <v>0.35</v>
      </c>
      <c r="FK16">
        <v>-0.45</v>
      </c>
      <c r="FL16">
        <v>-1.61</v>
      </c>
      <c r="FM16">
        <v>0.69</v>
      </c>
      <c r="FN16">
        <v>0.56999999999999995</v>
      </c>
      <c r="FO16">
        <v>0.52</v>
      </c>
      <c r="FP16">
        <v>0.67</v>
      </c>
      <c r="FQ16">
        <v>0.97</v>
      </c>
      <c r="FR16">
        <v>0.24</v>
      </c>
      <c r="FS16">
        <v>-1.28</v>
      </c>
      <c r="FT16">
        <v>0.9</v>
      </c>
      <c r="FU16">
        <v>0.95</v>
      </c>
    </row>
    <row r="17" spans="1:177" ht="15" thickBot="1">
      <c r="A17" s="20">
        <v>39356</v>
      </c>
      <c r="B17" s="3">
        <v>8.9126344086021501</v>
      </c>
      <c r="C17" s="3">
        <v>7.7268817204301152</v>
      </c>
      <c r="F17" s="3">
        <v>4.2248655913978483</v>
      </c>
      <c r="G17" s="3">
        <v>3.0465053763440846</v>
      </c>
      <c r="H17" s="6">
        <f t="shared" si="0"/>
        <v>5289.8777585876014</v>
      </c>
      <c r="I17" s="6">
        <f t="shared" si="1"/>
        <v>5.7884564116235815</v>
      </c>
      <c r="J17" s="3">
        <v>3.0610215053763405</v>
      </c>
      <c r="K17" s="3">
        <v>2.064516129032258</v>
      </c>
      <c r="N17" s="3">
        <v>-1.2192204301075247</v>
      </c>
      <c r="O17" s="3">
        <v>-1.2192204301075247</v>
      </c>
      <c r="P17" s="3">
        <v>71.565860215053789</v>
      </c>
      <c r="Q17" s="3">
        <v>71.575134408602082</v>
      </c>
      <c r="T17" s="3">
        <v>71.748790322580774</v>
      </c>
      <c r="U17" s="3">
        <v>78.043010752688232</v>
      </c>
      <c r="V17" s="3">
        <v>1.10038509208198</v>
      </c>
      <c r="W17" s="3"/>
      <c r="X17" s="3">
        <v>203.199596774193</v>
      </c>
      <c r="Y17" s="3">
        <v>124</v>
      </c>
      <c r="Z17" s="3">
        <v>7.4895161290322498</v>
      </c>
      <c r="AA17" s="3">
        <v>2.8141129032258001</v>
      </c>
      <c r="AB17" s="3"/>
      <c r="AC17" s="3">
        <v>3.096774193548387</v>
      </c>
      <c r="AD17" s="3">
        <v>3.7096774193548376</v>
      </c>
      <c r="AE17" s="3"/>
      <c r="AF17" s="3"/>
      <c r="AG17" s="3">
        <v>0.49354838709677418</v>
      </c>
      <c r="AH17" s="3">
        <v>-0.27096774193548384</v>
      </c>
      <c r="AI17" s="6">
        <f t="shared" si="2"/>
        <v>4652.8435305917756</v>
      </c>
      <c r="AJ17" s="6">
        <f t="shared" si="3"/>
        <v>5.3159157557984518</v>
      </c>
      <c r="AK17" s="3">
        <v>0.56129032258064515</v>
      </c>
      <c r="AL17" s="3">
        <v>-0.19677419354838718</v>
      </c>
      <c r="AM17" s="3"/>
      <c r="AN17" s="3"/>
      <c r="AO17" s="3">
        <v>-4.4870967741935495</v>
      </c>
      <c r="AP17" s="3">
        <v>-4.4870967741935495</v>
      </c>
      <c r="AQ17" s="3">
        <v>40.493548387096766</v>
      </c>
      <c r="AR17" s="3">
        <v>50.635483870967725</v>
      </c>
      <c r="AS17" s="3"/>
      <c r="AT17" s="3"/>
      <c r="AU17" s="3">
        <v>54.032258064516135</v>
      </c>
      <c r="AV17" s="3">
        <v>61.00322580645161</v>
      </c>
      <c r="AW17" s="21"/>
      <c r="AX17" s="21"/>
      <c r="AY17" s="20">
        <v>39356</v>
      </c>
      <c r="AZ17" s="21">
        <v>5289.8777585876014</v>
      </c>
      <c r="BA17" s="29">
        <v>-1.34</v>
      </c>
      <c r="BB17" s="29">
        <v>-1.34</v>
      </c>
      <c r="BC17" s="23">
        <v>1.2</v>
      </c>
      <c r="BD17">
        <v>27.91</v>
      </c>
      <c r="BE17">
        <v>25.32</v>
      </c>
      <c r="BF17">
        <v>19.5</v>
      </c>
      <c r="BG17" s="9"/>
      <c r="BH17" s="9"/>
      <c r="BI17" s="9"/>
      <c r="BJ17" s="9"/>
      <c r="BO17" s="10">
        <v>2014</v>
      </c>
      <c r="BP17" s="27">
        <v>-0.4</v>
      </c>
      <c r="BQ17" s="27">
        <v>-0.5</v>
      </c>
      <c r="BR17" s="27">
        <v>-0.3</v>
      </c>
      <c r="BS17" s="27">
        <v>0</v>
      </c>
      <c r="BT17" s="27">
        <v>0.2</v>
      </c>
      <c r="BU17" s="27">
        <v>0.2</v>
      </c>
      <c r="BV17" s="27">
        <v>0</v>
      </c>
      <c r="BW17" s="27">
        <v>0.1</v>
      </c>
      <c r="BX17" s="27">
        <v>0.2</v>
      </c>
      <c r="BY17" s="28">
        <v>0.5</v>
      </c>
      <c r="BZ17" s="28">
        <v>0.6</v>
      </c>
      <c r="CA17" s="28">
        <v>0.7</v>
      </c>
      <c r="CC17">
        <v>2014</v>
      </c>
      <c r="CD17">
        <v>28.14</v>
      </c>
      <c r="CE17">
        <v>28.27</v>
      </c>
      <c r="CF17">
        <v>28.6</v>
      </c>
      <c r="CG17">
        <v>28.98</v>
      </c>
      <c r="CH17">
        <v>29.45</v>
      </c>
      <c r="CI17">
        <v>29.36</v>
      </c>
      <c r="CJ17">
        <v>29.04</v>
      </c>
      <c r="CK17">
        <v>29.04</v>
      </c>
      <c r="CL17">
        <v>29.16</v>
      </c>
      <c r="CM17">
        <v>29.24</v>
      </c>
      <c r="CN17">
        <v>29.43</v>
      </c>
      <c r="CO17">
        <v>29.3</v>
      </c>
      <c r="CQ17">
        <v>2014</v>
      </c>
      <c r="CR17">
        <v>24.56</v>
      </c>
      <c r="CS17">
        <v>25.49</v>
      </c>
      <c r="CT17">
        <v>26.17</v>
      </c>
      <c r="CU17">
        <v>25.51</v>
      </c>
      <c r="CV17">
        <v>25.48</v>
      </c>
      <c r="CW17">
        <v>24.67</v>
      </c>
      <c r="CX17">
        <v>22.94</v>
      </c>
      <c r="CY17">
        <v>21.9</v>
      </c>
      <c r="CZ17">
        <v>21.52</v>
      </c>
      <c r="DA17">
        <v>21.71</v>
      </c>
      <c r="DB17">
        <v>22.45</v>
      </c>
      <c r="DC17">
        <v>23.22</v>
      </c>
      <c r="DE17">
        <v>2014</v>
      </c>
      <c r="DF17">
        <v>26.05</v>
      </c>
      <c r="DG17">
        <v>26.14</v>
      </c>
      <c r="DH17">
        <v>27</v>
      </c>
      <c r="DI17">
        <v>27.9</v>
      </c>
      <c r="DJ17">
        <v>28.25</v>
      </c>
      <c r="DK17">
        <v>27.96</v>
      </c>
      <c r="DL17">
        <v>27.23</v>
      </c>
      <c r="DM17">
        <v>26.82</v>
      </c>
      <c r="DN17">
        <v>27.01</v>
      </c>
      <c r="DO17">
        <v>27.16</v>
      </c>
      <c r="DP17">
        <v>27.46</v>
      </c>
      <c r="DQ17">
        <v>27.31</v>
      </c>
      <c r="DS17">
        <v>2014</v>
      </c>
      <c r="DT17">
        <v>-1.3580000000000001</v>
      </c>
      <c r="DU17">
        <v>-1.5029999999999999</v>
      </c>
      <c r="DV17">
        <v>-1.4079999999999999</v>
      </c>
      <c r="DW17">
        <v>-1.4830000000000001</v>
      </c>
      <c r="DX17">
        <v>-1.1220000000000001</v>
      </c>
      <c r="DY17">
        <v>-0.63600000000000001</v>
      </c>
      <c r="DZ17">
        <v>-0.40600000000000003</v>
      </c>
      <c r="EA17">
        <v>-0.499</v>
      </c>
      <c r="EB17">
        <v>-0.81299999999999994</v>
      </c>
      <c r="EC17">
        <v>-1.238</v>
      </c>
      <c r="ED17">
        <v>-1.7150000000000001</v>
      </c>
      <c r="EE17">
        <v>-2.117</v>
      </c>
      <c r="EG17" s="25">
        <v>2014</v>
      </c>
      <c r="EH17">
        <v>0.97</v>
      </c>
      <c r="EI17">
        <v>-0.95</v>
      </c>
      <c r="EJ17">
        <v>-0.21</v>
      </c>
      <c r="EK17">
        <v>0.25</v>
      </c>
      <c r="EL17">
        <v>-0.76</v>
      </c>
      <c r="EM17">
        <v>-1.46</v>
      </c>
      <c r="EN17">
        <v>0.99</v>
      </c>
      <c r="EO17">
        <v>1.37</v>
      </c>
      <c r="EP17">
        <v>0.99</v>
      </c>
      <c r="EQ17">
        <v>0.89</v>
      </c>
      <c r="ER17">
        <v>0.68</v>
      </c>
      <c r="ES17">
        <v>0.67</v>
      </c>
      <c r="EU17" s="25">
        <v>2014</v>
      </c>
      <c r="EV17">
        <v>-0.13</v>
      </c>
      <c r="EW17">
        <v>0.36</v>
      </c>
      <c r="EX17">
        <v>1.34</v>
      </c>
      <c r="EY17">
        <v>1.18</v>
      </c>
      <c r="EZ17">
        <v>-1.62</v>
      </c>
      <c r="FA17">
        <v>-0.21</v>
      </c>
      <c r="FB17">
        <v>0.68</v>
      </c>
      <c r="FC17">
        <v>1.97</v>
      </c>
      <c r="FD17">
        <v>-1.62</v>
      </c>
      <c r="FE17">
        <v>1.32</v>
      </c>
      <c r="FF17">
        <v>0.35</v>
      </c>
      <c r="FG17">
        <v>2.4500000000000002</v>
      </c>
      <c r="FI17" s="25">
        <v>2014</v>
      </c>
      <c r="FJ17">
        <v>0.28999999999999998</v>
      </c>
      <c r="FK17">
        <v>1.34</v>
      </c>
      <c r="FL17">
        <v>0.8</v>
      </c>
      <c r="FM17">
        <v>0.31</v>
      </c>
      <c r="FN17">
        <v>-0.92</v>
      </c>
      <c r="FO17">
        <v>-0.97</v>
      </c>
      <c r="FP17">
        <v>0.18</v>
      </c>
      <c r="FQ17">
        <v>-1.68</v>
      </c>
      <c r="FR17">
        <v>1.62</v>
      </c>
      <c r="FS17">
        <v>-1.27</v>
      </c>
      <c r="FT17">
        <v>0.68</v>
      </c>
      <c r="FU17">
        <v>1.86</v>
      </c>
    </row>
    <row r="18" spans="1:177" ht="15" thickBot="1">
      <c r="A18" s="20">
        <v>39387</v>
      </c>
      <c r="B18" s="3">
        <v>9.3631944444444439</v>
      </c>
      <c r="C18" s="3">
        <v>8.0509722222222351</v>
      </c>
      <c r="F18" s="3">
        <v>4.776944444444438</v>
      </c>
      <c r="G18" s="3">
        <v>3.4434722222222169</v>
      </c>
      <c r="H18" s="6">
        <f t="shared" si="0"/>
        <v>5442.7204853009735</v>
      </c>
      <c r="I18" s="6">
        <f t="shared" si="1"/>
        <v>5.4116161616161937</v>
      </c>
      <c r="J18" s="3">
        <v>5.2052777777777761</v>
      </c>
      <c r="K18" s="3">
        <v>4.2994444444444424</v>
      </c>
      <c r="N18" s="3">
        <v>1.0572222222222225</v>
      </c>
      <c r="O18" s="3">
        <v>1.0572222222222225</v>
      </c>
      <c r="P18" s="3">
        <v>78.000277777777768</v>
      </c>
      <c r="Q18" s="3">
        <v>78.749722222222132</v>
      </c>
      <c r="T18" s="3">
        <v>78.335555555555572</v>
      </c>
      <c r="U18" s="3">
        <v>85.794861111111175</v>
      </c>
      <c r="V18" s="3">
        <v>1.2120569116311499</v>
      </c>
      <c r="W18" s="3"/>
      <c r="X18" s="3">
        <v>218.29583333333301</v>
      </c>
      <c r="Y18" s="3">
        <v>110.8</v>
      </c>
      <c r="Z18" s="3">
        <v>7.8844444444444397</v>
      </c>
      <c r="AA18" s="3">
        <v>5.0841666666666603</v>
      </c>
      <c r="AB18" s="3"/>
      <c r="AC18" s="3">
        <v>4.0666666666666664</v>
      </c>
      <c r="AD18" s="3">
        <v>4.133333333333332</v>
      </c>
      <c r="AE18" s="3"/>
      <c r="AF18" s="3"/>
      <c r="AG18" s="3">
        <v>0.85666666666666669</v>
      </c>
      <c r="AH18" s="3">
        <v>0.13333333333333336</v>
      </c>
      <c r="AI18" s="6">
        <f t="shared" si="2"/>
        <v>4718.1739572736524</v>
      </c>
      <c r="AJ18" s="6">
        <f t="shared" si="3"/>
        <v>5.4159779614325041</v>
      </c>
      <c r="AK18" s="3">
        <v>2.7166666666666668</v>
      </c>
      <c r="AL18" s="3">
        <v>2.4866666666666659</v>
      </c>
      <c r="AM18" s="3"/>
      <c r="AN18" s="3"/>
      <c r="AO18" s="3">
        <v>-1.5233333333333337</v>
      </c>
      <c r="AP18" s="3">
        <v>-1.5233333333333337</v>
      </c>
      <c r="AQ18" s="3">
        <v>46.103333333333325</v>
      </c>
      <c r="AR18" s="3">
        <v>53.63000000000001</v>
      </c>
      <c r="AS18" s="3"/>
      <c r="AT18" s="3"/>
      <c r="AU18" s="3">
        <v>56.766666666666666</v>
      </c>
      <c r="AV18" s="3">
        <v>65.680000000000007</v>
      </c>
      <c r="AW18" s="21"/>
      <c r="AX18" s="21"/>
      <c r="AY18" s="20">
        <v>39387</v>
      </c>
      <c r="AZ18" s="21">
        <v>5442.7204853009735</v>
      </c>
      <c r="BA18" s="29">
        <v>-1.5</v>
      </c>
      <c r="BB18" s="29">
        <v>-1.5</v>
      </c>
      <c r="BC18" s="23">
        <v>1.4</v>
      </c>
      <c r="BD18">
        <v>27.61</v>
      </c>
      <c r="BE18">
        <v>25.17</v>
      </c>
      <c r="BF18">
        <v>19.920000000000002</v>
      </c>
      <c r="BG18" s="9"/>
      <c r="BH18" s="9"/>
      <c r="BI18" s="9"/>
      <c r="BJ18" s="9"/>
      <c r="BO18" s="10">
        <v>2015</v>
      </c>
      <c r="BP18" s="28">
        <v>0.5</v>
      </c>
      <c r="BQ18" s="28">
        <v>0.5</v>
      </c>
      <c r="BR18" s="28">
        <v>0.5</v>
      </c>
      <c r="BS18" s="28">
        <v>0.7</v>
      </c>
      <c r="BT18" s="28">
        <v>0.9</v>
      </c>
      <c r="BU18" s="28">
        <v>1.2</v>
      </c>
      <c r="BV18" s="28">
        <v>1.5</v>
      </c>
      <c r="BW18" s="28">
        <v>1.9</v>
      </c>
      <c r="BX18" s="28">
        <v>2.2000000000000002</v>
      </c>
      <c r="BY18" s="28">
        <v>2.4</v>
      </c>
      <c r="BZ18" s="28">
        <v>2.6</v>
      </c>
      <c r="CA18" s="28">
        <v>2.6</v>
      </c>
      <c r="CC18">
        <v>2015</v>
      </c>
      <c r="CD18">
        <v>29.07</v>
      </c>
      <c r="CE18">
        <v>29.07</v>
      </c>
      <c r="CF18">
        <v>29.22</v>
      </c>
      <c r="CG18">
        <v>29.61</v>
      </c>
      <c r="CH18">
        <v>29.85</v>
      </c>
      <c r="CI18">
        <v>29.88</v>
      </c>
      <c r="CJ18">
        <v>29.78</v>
      </c>
      <c r="CK18">
        <v>29.77</v>
      </c>
      <c r="CL18">
        <v>29.82</v>
      </c>
      <c r="CM18">
        <v>29.84</v>
      </c>
      <c r="CN18">
        <v>30.13</v>
      </c>
      <c r="CO18">
        <v>29.91</v>
      </c>
      <c r="CQ18">
        <v>2015</v>
      </c>
      <c r="CR18">
        <v>24.41</v>
      </c>
      <c r="CS18">
        <v>25.57</v>
      </c>
      <c r="CT18">
        <v>26.57</v>
      </c>
      <c r="CU18">
        <v>26.54</v>
      </c>
      <c r="CV18">
        <v>25.96</v>
      </c>
      <c r="CW18">
        <v>25.32</v>
      </c>
      <c r="CX18">
        <v>24.5</v>
      </c>
      <c r="CY18">
        <v>22.66</v>
      </c>
      <c r="CZ18">
        <v>23.01</v>
      </c>
      <c r="DA18">
        <v>23.14</v>
      </c>
      <c r="DB18">
        <v>23.93</v>
      </c>
      <c r="DC18">
        <v>25.02</v>
      </c>
      <c r="DE18">
        <v>2015</v>
      </c>
      <c r="DF18">
        <v>27.05</v>
      </c>
      <c r="DG18">
        <v>27.17</v>
      </c>
      <c r="DH18">
        <v>27.75</v>
      </c>
      <c r="DI18">
        <v>28.52</v>
      </c>
      <c r="DJ18">
        <v>28.85</v>
      </c>
      <c r="DK18">
        <v>28.9</v>
      </c>
      <c r="DL18">
        <v>28.75</v>
      </c>
      <c r="DM18">
        <v>28.79</v>
      </c>
      <c r="DN18">
        <v>28.93</v>
      </c>
      <c r="DO18">
        <v>29.08</v>
      </c>
      <c r="DP18">
        <v>29.42</v>
      </c>
      <c r="DQ18">
        <v>29.26</v>
      </c>
      <c r="DS18">
        <v>2015</v>
      </c>
      <c r="DT18">
        <v>-2.476</v>
      </c>
      <c r="DU18">
        <v>-2.4350000000000001</v>
      </c>
      <c r="DV18">
        <v>-1.984</v>
      </c>
      <c r="DW18">
        <v>-1.4339999999999999</v>
      </c>
      <c r="DX18">
        <v>-0.70199999999999996</v>
      </c>
      <c r="DY18">
        <v>-0.19800000000000001</v>
      </c>
      <c r="DZ18">
        <v>0.1</v>
      </c>
      <c r="EA18">
        <v>0.112</v>
      </c>
      <c r="EB18">
        <v>-0.13900000000000001</v>
      </c>
      <c r="EC18">
        <v>-0.40400000000000003</v>
      </c>
      <c r="ED18">
        <v>-0.67600000000000005</v>
      </c>
      <c r="EE18">
        <v>-1.1879999999999999</v>
      </c>
      <c r="EG18" s="25">
        <v>2015</v>
      </c>
      <c r="EH18">
        <v>0.61</v>
      </c>
      <c r="EI18">
        <v>0.59</v>
      </c>
      <c r="EJ18">
        <v>-0.23</v>
      </c>
      <c r="EK18">
        <v>-0.15</v>
      </c>
      <c r="EL18">
        <v>-0.16</v>
      </c>
      <c r="EM18">
        <v>-0.17</v>
      </c>
      <c r="EN18">
        <v>0.76</v>
      </c>
      <c r="EO18">
        <v>0.08</v>
      </c>
      <c r="EP18">
        <v>-0.92</v>
      </c>
      <c r="EQ18">
        <v>1.78</v>
      </c>
      <c r="ER18">
        <v>-0.19</v>
      </c>
      <c r="ES18">
        <v>0.78</v>
      </c>
      <c r="EU18" s="25">
        <v>2015</v>
      </c>
      <c r="EV18">
        <v>1.35</v>
      </c>
      <c r="EW18">
        <v>4.92</v>
      </c>
      <c r="EX18">
        <v>0.88</v>
      </c>
      <c r="EY18">
        <v>2.0299999999999998</v>
      </c>
      <c r="EZ18">
        <v>0.41</v>
      </c>
      <c r="FA18">
        <v>2.41</v>
      </c>
      <c r="FB18">
        <v>2</v>
      </c>
      <c r="FC18">
        <v>1.86</v>
      </c>
      <c r="FD18">
        <v>1.91</v>
      </c>
      <c r="FE18">
        <v>-0.66</v>
      </c>
      <c r="FF18">
        <v>1.46</v>
      </c>
      <c r="FG18">
        <v>0.72</v>
      </c>
      <c r="FI18" s="25">
        <v>2015</v>
      </c>
      <c r="FJ18">
        <v>1.79</v>
      </c>
      <c r="FK18">
        <v>1.32</v>
      </c>
      <c r="FL18">
        <v>1.45</v>
      </c>
      <c r="FM18">
        <v>0.73</v>
      </c>
      <c r="FN18">
        <v>0.15</v>
      </c>
      <c r="FO18">
        <v>-7.0000000000000007E-2</v>
      </c>
      <c r="FP18">
        <v>-3.18</v>
      </c>
      <c r="FQ18">
        <v>-0.76</v>
      </c>
      <c r="FR18">
        <v>-0.65</v>
      </c>
      <c r="FS18">
        <v>0.44</v>
      </c>
      <c r="FT18">
        <v>1.74</v>
      </c>
      <c r="FU18">
        <v>2.2400000000000002</v>
      </c>
    </row>
    <row r="19" spans="1:177" ht="15" thickBot="1">
      <c r="A19" s="20">
        <v>39417</v>
      </c>
      <c r="B19" s="3">
        <v>8.5322580645161299</v>
      </c>
      <c r="C19" s="3">
        <v>7.6163978494623725</v>
      </c>
      <c r="F19" s="3">
        <v>4.6091397849462323</v>
      </c>
      <c r="G19" s="3">
        <v>3.1189516129032264</v>
      </c>
      <c r="H19" s="6">
        <f t="shared" si="0"/>
        <v>5487.2664700098285</v>
      </c>
      <c r="I19" s="6">
        <f t="shared" si="1"/>
        <v>4.9706744868035377</v>
      </c>
      <c r="J19" s="3">
        <v>3.5029569892473127</v>
      </c>
      <c r="K19" s="3">
        <v>2.4114247311827968</v>
      </c>
      <c r="N19" s="3">
        <v>-0.89758064516129021</v>
      </c>
      <c r="O19" s="3">
        <v>-0.89758064516129021</v>
      </c>
      <c r="P19" s="3">
        <v>74.094354838709677</v>
      </c>
      <c r="Q19" s="3">
        <v>72.244892473118242</v>
      </c>
      <c r="T19" s="3">
        <v>70.998118279569923</v>
      </c>
      <c r="U19" s="3">
        <v>78.57231182795698</v>
      </c>
      <c r="V19" s="3">
        <v>1.15620289129582</v>
      </c>
      <c r="W19" s="3"/>
      <c r="X19" s="3">
        <v>200.595564516129</v>
      </c>
      <c r="Y19" s="3">
        <v>92.2</v>
      </c>
      <c r="Z19" s="3">
        <v>7.0809139784946202</v>
      </c>
      <c r="AA19" s="3">
        <v>3.22150537634408</v>
      </c>
      <c r="AB19" s="3"/>
      <c r="AC19" s="3">
        <v>3.1129032258064515</v>
      </c>
      <c r="AD19" s="3">
        <v>3.7129032258064516</v>
      </c>
      <c r="AE19" s="3"/>
      <c r="AF19" s="3"/>
      <c r="AG19" s="3">
        <v>0.60967741935483866</v>
      </c>
      <c r="AH19" s="3">
        <v>-0.18709677419354848</v>
      </c>
      <c r="AI19" s="6">
        <f t="shared" si="2"/>
        <v>4678.8617463617466</v>
      </c>
      <c r="AJ19" s="6">
        <f t="shared" si="3"/>
        <v>5.12929885363903</v>
      </c>
      <c r="AK19" s="3">
        <v>0.99677419354838703</v>
      </c>
      <c r="AL19" s="3">
        <v>0.49032258064516132</v>
      </c>
      <c r="AM19" s="3"/>
      <c r="AN19" s="3"/>
      <c r="AO19" s="3">
        <v>-3.4741935483870958</v>
      </c>
      <c r="AP19" s="3">
        <v>-3.4741935483870958</v>
      </c>
      <c r="AQ19" s="3">
        <v>45.961290322580638</v>
      </c>
      <c r="AR19" s="3">
        <v>52.354838709677416</v>
      </c>
      <c r="AS19" s="3"/>
      <c r="AT19" s="3"/>
      <c r="AU19" s="3">
        <v>53.022580645161284</v>
      </c>
      <c r="AV19" s="3">
        <v>62.835483870967742</v>
      </c>
      <c r="AW19" s="21"/>
      <c r="AX19" s="21"/>
      <c r="AY19" s="20">
        <v>39417</v>
      </c>
      <c r="AZ19" s="21">
        <v>5487.2664700098285</v>
      </c>
      <c r="BA19" s="29">
        <v>-1.6</v>
      </c>
      <c r="BB19" s="29">
        <v>-1.6</v>
      </c>
      <c r="BC19" s="23">
        <v>2.7</v>
      </c>
      <c r="BD19">
        <v>27.42</v>
      </c>
      <c r="BE19">
        <v>25.01</v>
      </c>
      <c r="BF19">
        <v>21.15</v>
      </c>
      <c r="BG19" s="9"/>
      <c r="BH19" s="9"/>
      <c r="BI19" s="9"/>
      <c r="BJ19" s="9"/>
      <c r="BO19" s="10">
        <v>2016</v>
      </c>
      <c r="BP19" s="28">
        <v>2.5</v>
      </c>
      <c r="BQ19" s="28">
        <v>2.1</v>
      </c>
      <c r="BR19" s="28">
        <v>1.6</v>
      </c>
      <c r="BS19" s="28">
        <v>0.9</v>
      </c>
      <c r="BT19" s="27">
        <v>0.4</v>
      </c>
      <c r="BU19" s="27">
        <v>-0.1</v>
      </c>
      <c r="BV19" s="27">
        <v>-0.4</v>
      </c>
      <c r="BW19" s="24">
        <v>-0.5</v>
      </c>
      <c r="BX19" s="24">
        <v>-0.6</v>
      </c>
      <c r="BY19" s="24">
        <v>-0.7</v>
      </c>
      <c r="BZ19" s="24">
        <v>-0.7</v>
      </c>
      <c r="CA19" s="24">
        <v>-0.6</v>
      </c>
      <c r="CC19">
        <v>2016</v>
      </c>
      <c r="CD19">
        <v>29.54</v>
      </c>
      <c r="CE19">
        <v>29.41</v>
      </c>
      <c r="CF19">
        <v>29.39</v>
      </c>
      <c r="CG19">
        <v>29.37</v>
      </c>
      <c r="CH19">
        <v>29.45</v>
      </c>
      <c r="CI19">
        <v>29.35</v>
      </c>
      <c r="CJ19">
        <v>29.05</v>
      </c>
      <c r="CK19">
        <v>28.73</v>
      </c>
      <c r="CL19">
        <v>28.51</v>
      </c>
      <c r="CM19">
        <v>28.32</v>
      </c>
      <c r="CN19">
        <v>28.24</v>
      </c>
      <c r="CO19">
        <v>28.35</v>
      </c>
      <c r="CQ19">
        <v>2016</v>
      </c>
      <c r="CR19">
        <v>26.36</v>
      </c>
      <c r="CS19">
        <v>27.4</v>
      </c>
      <c r="CT19">
        <v>27.83</v>
      </c>
      <c r="CU19">
        <v>25.98</v>
      </c>
      <c r="CV19">
        <v>24.9</v>
      </c>
      <c r="CW19">
        <v>23.77</v>
      </c>
      <c r="CX19">
        <v>22.21</v>
      </c>
      <c r="CY19">
        <v>21.25</v>
      </c>
      <c r="CZ19">
        <v>21.29</v>
      </c>
      <c r="DA19">
        <v>21.36</v>
      </c>
      <c r="DB19">
        <v>21.78</v>
      </c>
      <c r="DC19">
        <v>23.24</v>
      </c>
      <c r="DE19">
        <v>2016</v>
      </c>
      <c r="DF19">
        <v>29.11</v>
      </c>
      <c r="DG19">
        <v>29.01</v>
      </c>
      <c r="DH19">
        <v>28.9</v>
      </c>
      <c r="DI19">
        <v>28.72</v>
      </c>
      <c r="DJ19">
        <v>28.23</v>
      </c>
      <c r="DK19">
        <v>27.69</v>
      </c>
      <c r="DL19">
        <v>26.82</v>
      </c>
      <c r="DM19">
        <v>26.28</v>
      </c>
      <c r="DN19">
        <v>26.14</v>
      </c>
      <c r="DO19">
        <v>25.98</v>
      </c>
      <c r="DP19">
        <v>25.94</v>
      </c>
      <c r="DQ19">
        <v>26.1</v>
      </c>
      <c r="DS19">
        <v>2016</v>
      </c>
      <c r="DT19">
        <v>-1.63</v>
      </c>
      <c r="DU19">
        <v>-1.802</v>
      </c>
      <c r="DV19">
        <v>-1.946</v>
      </c>
      <c r="DW19">
        <v>-1.978</v>
      </c>
      <c r="DX19">
        <v>-1.7629999999999999</v>
      </c>
      <c r="DY19">
        <v>-1.4410000000000001</v>
      </c>
      <c r="DZ19">
        <v>-0.96799999999999997</v>
      </c>
      <c r="EA19">
        <v>-0.50800000000000001</v>
      </c>
      <c r="EB19">
        <v>-0.10100000000000001</v>
      </c>
      <c r="EC19">
        <v>0.32400000000000001</v>
      </c>
      <c r="ED19">
        <v>0.69</v>
      </c>
      <c r="EE19">
        <v>1.097</v>
      </c>
      <c r="EG19" s="25">
        <v>2016</v>
      </c>
      <c r="EH19">
        <v>2.02</v>
      </c>
      <c r="EI19">
        <v>1.48</v>
      </c>
      <c r="EJ19">
        <v>0.73</v>
      </c>
      <c r="EK19">
        <v>0.87</v>
      </c>
      <c r="EL19">
        <v>-1.06</v>
      </c>
      <c r="EM19">
        <v>-0.7</v>
      </c>
      <c r="EN19">
        <v>1.02</v>
      </c>
      <c r="EO19">
        <v>-0.88</v>
      </c>
      <c r="EP19">
        <v>0.18</v>
      </c>
      <c r="EQ19">
        <v>1.24</v>
      </c>
      <c r="ER19">
        <v>1.52</v>
      </c>
      <c r="ES19">
        <v>-0.35</v>
      </c>
      <c r="EU19" s="25">
        <v>2016</v>
      </c>
      <c r="EV19">
        <v>3.13</v>
      </c>
      <c r="EW19">
        <v>1.35</v>
      </c>
      <c r="EX19">
        <v>4.3600000000000003</v>
      </c>
      <c r="EY19">
        <v>1.06</v>
      </c>
      <c r="EZ19">
        <v>-0.92</v>
      </c>
      <c r="FA19">
        <v>3.66</v>
      </c>
      <c r="FB19">
        <v>0.81</v>
      </c>
      <c r="FC19">
        <v>-1.28</v>
      </c>
      <c r="FD19">
        <v>2.46</v>
      </c>
      <c r="FE19">
        <v>-0.89</v>
      </c>
      <c r="FF19">
        <v>-3.12</v>
      </c>
      <c r="FG19">
        <v>-1.52</v>
      </c>
      <c r="FI19" s="25">
        <v>2016</v>
      </c>
      <c r="FJ19">
        <v>0.12</v>
      </c>
      <c r="FK19">
        <v>1.58</v>
      </c>
      <c r="FL19">
        <v>0.73</v>
      </c>
      <c r="FM19">
        <v>0.38</v>
      </c>
      <c r="FN19">
        <v>-0.77</v>
      </c>
      <c r="FO19">
        <v>-0.43</v>
      </c>
      <c r="FP19">
        <v>-1.76</v>
      </c>
      <c r="FQ19">
        <v>-1.65</v>
      </c>
      <c r="FR19">
        <v>0.61</v>
      </c>
      <c r="FS19">
        <v>0.41</v>
      </c>
      <c r="FT19">
        <v>-0.16</v>
      </c>
      <c r="FU19">
        <v>0.48</v>
      </c>
    </row>
    <row r="20" spans="1:177" ht="15" thickBot="1">
      <c r="A20" s="20">
        <v>39448</v>
      </c>
      <c r="B20" s="3">
        <v>8.800403225806452</v>
      </c>
      <c r="C20" s="3">
        <v>7.3547043010752686</v>
      </c>
      <c r="F20" s="3">
        <v>4.0263440860215018</v>
      </c>
      <c r="G20" s="3">
        <v>2.5685483870967758</v>
      </c>
      <c r="H20" s="6">
        <f t="shared" si="0"/>
        <v>5291.8733594475616</v>
      </c>
      <c r="I20" s="6">
        <f t="shared" si="1"/>
        <v>5.5014218430640769</v>
      </c>
      <c r="J20" s="3">
        <v>5.8504032258064473</v>
      </c>
      <c r="K20" s="3">
        <v>4.6858870967741959</v>
      </c>
      <c r="N20" s="3">
        <v>1.3466397849462364</v>
      </c>
      <c r="O20" s="3">
        <v>1.3466397849462364</v>
      </c>
      <c r="P20" s="3">
        <v>83.572849462365483</v>
      </c>
      <c r="Q20" s="3">
        <v>84.175268817204241</v>
      </c>
      <c r="T20" s="3">
        <v>83.548790322580558</v>
      </c>
      <c r="U20" s="3">
        <v>91.862499999999983</v>
      </c>
      <c r="V20" s="3">
        <v>1.0646376061441001</v>
      </c>
      <c r="W20" s="3"/>
      <c r="X20" s="3">
        <v>191.840456989247</v>
      </c>
      <c r="Y20" s="3">
        <v>147.80000000000001</v>
      </c>
      <c r="Z20" s="3">
        <v>7.3831989247311798</v>
      </c>
      <c r="AA20" s="3">
        <v>5.6384408602150504</v>
      </c>
      <c r="AB20" s="3"/>
      <c r="AC20" s="3">
        <v>4.306451612903226</v>
      </c>
      <c r="AD20" s="3">
        <v>4.2483870967741924</v>
      </c>
      <c r="AE20" s="3"/>
      <c r="AF20" s="3"/>
      <c r="AG20" s="3">
        <v>0.81935483870967729</v>
      </c>
      <c r="AH20" s="3">
        <v>0.11612903225806454</v>
      </c>
      <c r="AI20" s="6">
        <f t="shared" si="2"/>
        <v>4704.5625587958612</v>
      </c>
      <c r="AJ20" s="6">
        <f t="shared" si="3"/>
        <v>5.6678219141562236</v>
      </c>
      <c r="AK20" s="3">
        <v>3.2290322580645161</v>
      </c>
      <c r="AL20" s="3">
        <v>2.8677419354838718</v>
      </c>
      <c r="AM20" s="3"/>
      <c r="AN20" s="3"/>
      <c r="AO20" s="3">
        <v>-0.84516129032258047</v>
      </c>
      <c r="AP20" s="3">
        <v>-0.84516129032258047</v>
      </c>
      <c r="AQ20" s="3">
        <v>55.958064516129028</v>
      </c>
      <c r="AR20" s="3">
        <v>65.058064516129022</v>
      </c>
      <c r="AS20" s="3"/>
      <c r="AT20" s="3"/>
      <c r="AU20" s="3">
        <v>66.648387096774186</v>
      </c>
      <c r="AV20" s="3">
        <v>76.98709677419356</v>
      </c>
      <c r="AW20" s="21"/>
      <c r="AX20" s="21"/>
      <c r="AY20" s="20">
        <v>39448</v>
      </c>
      <c r="AZ20" s="21">
        <v>5291.8733594475616</v>
      </c>
      <c r="BA20" s="29">
        <v>-1.64</v>
      </c>
      <c r="BB20" s="29">
        <v>-1.64</v>
      </c>
      <c r="BC20" s="30">
        <v>2.9</v>
      </c>
      <c r="BD20">
        <v>26.87</v>
      </c>
      <c r="BE20">
        <v>24.86</v>
      </c>
      <c r="BF20">
        <v>24.08</v>
      </c>
      <c r="BG20" s="9"/>
      <c r="BH20" s="9"/>
      <c r="BI20" s="9"/>
      <c r="BJ20" s="9"/>
      <c r="BO20" s="10">
        <v>2017</v>
      </c>
      <c r="BP20" s="27">
        <v>-0.3</v>
      </c>
      <c r="BQ20" s="27">
        <v>-0.2</v>
      </c>
      <c r="BR20" s="27">
        <v>0.1</v>
      </c>
      <c r="BS20" s="27">
        <v>0.2</v>
      </c>
      <c r="BT20" s="27">
        <v>0.3</v>
      </c>
      <c r="BU20" s="27">
        <v>0.3</v>
      </c>
      <c r="BV20" s="27">
        <v>0.1</v>
      </c>
      <c r="BW20" s="27">
        <v>-0.1</v>
      </c>
      <c r="BX20" s="27">
        <v>-0.4</v>
      </c>
      <c r="BY20" s="24">
        <v>-0.7</v>
      </c>
      <c r="BZ20" s="24">
        <v>-0.8</v>
      </c>
      <c r="CA20" s="24">
        <v>-1</v>
      </c>
      <c r="CC20">
        <v>2017</v>
      </c>
      <c r="CD20">
        <v>28.16</v>
      </c>
      <c r="CE20">
        <v>28.11</v>
      </c>
      <c r="CF20">
        <v>28.29</v>
      </c>
      <c r="CG20">
        <v>28.69</v>
      </c>
      <c r="CH20">
        <v>29.1</v>
      </c>
      <c r="CI20">
        <v>29.29</v>
      </c>
      <c r="CJ20">
        <v>29.16</v>
      </c>
      <c r="CK20">
        <v>28.87</v>
      </c>
      <c r="CL20">
        <v>28.72</v>
      </c>
      <c r="CM20">
        <v>28.56</v>
      </c>
      <c r="CN20">
        <v>28.3</v>
      </c>
      <c r="CO20">
        <v>28.02</v>
      </c>
      <c r="CQ20">
        <v>2017</v>
      </c>
      <c r="CR20">
        <v>25.5</v>
      </c>
      <c r="CS20">
        <v>27.46</v>
      </c>
      <c r="CT20">
        <v>28.1</v>
      </c>
      <c r="CU20">
        <v>26.59</v>
      </c>
      <c r="CV20">
        <v>24.63</v>
      </c>
      <c r="CW20">
        <v>22.89</v>
      </c>
      <c r="CX20">
        <v>21.64</v>
      </c>
      <c r="CY20">
        <v>20.67</v>
      </c>
      <c r="CZ20">
        <v>19.920000000000002</v>
      </c>
      <c r="DA20">
        <v>20.21</v>
      </c>
      <c r="DB20">
        <v>20.46</v>
      </c>
      <c r="DC20">
        <v>21.39</v>
      </c>
      <c r="DE20">
        <v>2017</v>
      </c>
      <c r="DF20">
        <v>26.12</v>
      </c>
      <c r="DG20">
        <v>26.67</v>
      </c>
      <c r="DH20">
        <v>27.32</v>
      </c>
      <c r="DI20">
        <v>28.03</v>
      </c>
      <c r="DJ20">
        <v>28.3</v>
      </c>
      <c r="DK20">
        <v>28.06</v>
      </c>
      <c r="DL20">
        <v>27.54</v>
      </c>
      <c r="DM20">
        <v>26.7</v>
      </c>
      <c r="DN20">
        <v>26.29</v>
      </c>
      <c r="DO20">
        <v>26.15</v>
      </c>
      <c r="DP20">
        <v>25.74</v>
      </c>
      <c r="DQ20">
        <v>25.62</v>
      </c>
      <c r="DS20">
        <v>2017</v>
      </c>
      <c r="DT20">
        <v>1.4470000000000001</v>
      </c>
      <c r="DU20">
        <v>1.4650000000000001</v>
      </c>
      <c r="DV20">
        <v>1.268</v>
      </c>
      <c r="DW20">
        <v>0.59199999999999997</v>
      </c>
      <c r="DX20">
        <v>-0.26700000000000002</v>
      </c>
      <c r="DY20">
        <v>-1.1499999999999999</v>
      </c>
      <c r="DZ20">
        <v>-1.575</v>
      </c>
      <c r="EA20">
        <v>-1.925</v>
      </c>
      <c r="EB20">
        <v>-1.847</v>
      </c>
      <c r="EC20">
        <v>-1.7350000000000001</v>
      </c>
      <c r="ED20">
        <v>-1.548</v>
      </c>
      <c r="EE20">
        <v>-1.264</v>
      </c>
      <c r="EG20" s="25">
        <v>2017</v>
      </c>
      <c r="EH20">
        <v>0.28000000000000003</v>
      </c>
      <c r="EI20">
        <v>0.18</v>
      </c>
      <c r="EJ20">
        <v>0.27</v>
      </c>
      <c r="EK20">
        <v>0.4</v>
      </c>
      <c r="EL20">
        <v>-0.31</v>
      </c>
      <c r="EM20">
        <v>1.01</v>
      </c>
      <c r="EN20">
        <v>1.86</v>
      </c>
      <c r="EO20">
        <v>0.23</v>
      </c>
      <c r="EP20">
        <v>-0.33</v>
      </c>
      <c r="EQ20">
        <v>-0.4</v>
      </c>
      <c r="ER20">
        <v>-2.06</v>
      </c>
      <c r="ES20">
        <v>0.89</v>
      </c>
      <c r="EU20" s="25">
        <v>2017</v>
      </c>
      <c r="EV20">
        <v>-1.1200000000000001</v>
      </c>
      <c r="EW20">
        <v>-1.0900000000000001</v>
      </c>
      <c r="EX20">
        <v>-1.56</v>
      </c>
      <c r="EY20">
        <v>1.65</v>
      </c>
      <c r="EZ20">
        <v>1.82</v>
      </c>
      <c r="FA20">
        <v>1.98</v>
      </c>
      <c r="FB20">
        <v>0.16</v>
      </c>
      <c r="FC20">
        <v>0.31</v>
      </c>
      <c r="FD20">
        <v>0.42</v>
      </c>
      <c r="FE20">
        <v>-0.64</v>
      </c>
      <c r="FF20">
        <v>3.18</v>
      </c>
      <c r="FG20">
        <v>1.44</v>
      </c>
      <c r="FI20" s="25">
        <v>2017</v>
      </c>
      <c r="FJ20">
        <v>0.48</v>
      </c>
      <c r="FK20">
        <v>1</v>
      </c>
      <c r="FL20">
        <v>0.74</v>
      </c>
      <c r="FM20">
        <v>1.73</v>
      </c>
      <c r="FN20">
        <v>-1.91</v>
      </c>
      <c r="FO20">
        <v>0.05</v>
      </c>
      <c r="FP20">
        <v>1.26</v>
      </c>
      <c r="FQ20">
        <v>-1.1000000000000001</v>
      </c>
      <c r="FR20">
        <v>-0.61</v>
      </c>
      <c r="FS20">
        <v>0.19</v>
      </c>
      <c r="FT20">
        <v>0</v>
      </c>
      <c r="FU20">
        <v>0.88</v>
      </c>
    </row>
    <row r="21" spans="1:177" ht="15" thickBot="1">
      <c r="A21" s="20">
        <v>39479</v>
      </c>
      <c r="B21" s="3">
        <v>8.4841954022988499</v>
      </c>
      <c r="C21" s="3">
        <v>7.0281609195402277</v>
      </c>
      <c r="F21" s="3">
        <v>3.7048850574712699</v>
      </c>
      <c r="G21" s="3">
        <v>2.2389367816091954</v>
      </c>
      <c r="H21" s="6">
        <f t="shared" si="0"/>
        <v>5234.4716817985327</v>
      </c>
      <c r="I21" s="6">
        <f t="shared" si="1"/>
        <v>5.4930179538329877</v>
      </c>
      <c r="J21" s="3">
        <v>5.4821839080459869</v>
      </c>
      <c r="K21" s="3">
        <v>4.4936781609195418</v>
      </c>
      <c r="N21" s="3">
        <v>1.2199712643678169</v>
      </c>
      <c r="O21" s="3">
        <v>1.2199712643678169</v>
      </c>
      <c r="P21" s="3">
        <v>83.359482758620544</v>
      </c>
      <c r="Q21" s="3">
        <v>84.879166666666592</v>
      </c>
      <c r="T21" s="3">
        <v>84.714798850574638</v>
      </c>
      <c r="U21" s="3">
        <v>93.075574712643729</v>
      </c>
      <c r="V21" s="3">
        <v>1.22160367931976</v>
      </c>
      <c r="W21" s="3"/>
      <c r="X21" s="3">
        <v>189.973850574712</v>
      </c>
      <c r="Y21" s="3">
        <v>198.1</v>
      </c>
      <c r="Z21" s="3">
        <v>7.1435344827586196</v>
      </c>
      <c r="AA21" s="3">
        <v>5.3182471264367797</v>
      </c>
      <c r="AB21" s="3"/>
      <c r="AC21" s="3">
        <v>4.568965517241379</v>
      </c>
      <c r="AD21" s="3">
        <v>4.1758620689655164</v>
      </c>
      <c r="AE21" s="3"/>
      <c r="AF21" s="3"/>
      <c r="AG21" s="3">
        <v>0.58275862068965512</v>
      </c>
      <c r="AH21" s="3">
        <v>-3.7931034482758627E-2</v>
      </c>
      <c r="AI21" s="6">
        <f t="shared" si="2"/>
        <v>4658.1238003838771</v>
      </c>
      <c r="AJ21" s="6">
        <f t="shared" si="3"/>
        <v>5.9390139640923323</v>
      </c>
      <c r="AK21" s="3">
        <v>3.3379310344827591</v>
      </c>
      <c r="AL21" s="3">
        <v>2.8068965517241384</v>
      </c>
      <c r="AM21" s="3"/>
      <c r="AN21" s="3"/>
      <c r="AO21" s="3">
        <v>-0.77931034482758621</v>
      </c>
      <c r="AP21" s="3">
        <v>-0.77931034482758621</v>
      </c>
      <c r="AQ21" s="3">
        <v>56.889655172413789</v>
      </c>
      <c r="AR21" s="3">
        <v>67.524137931034488</v>
      </c>
      <c r="AS21" s="3"/>
      <c r="AT21" s="3"/>
      <c r="AU21" s="3">
        <v>67.806896551724137</v>
      </c>
      <c r="AV21" s="3">
        <v>79.934482758620689</v>
      </c>
      <c r="AW21" s="21"/>
      <c r="AX21" s="21"/>
      <c r="AY21" s="20">
        <v>39479</v>
      </c>
      <c r="AZ21" s="21">
        <v>5234.4716817985327</v>
      </c>
      <c r="BA21" s="29">
        <v>-1.52</v>
      </c>
      <c r="BB21" s="29">
        <v>-1.52</v>
      </c>
      <c r="BC21" s="30">
        <v>4.4000000000000004</v>
      </c>
      <c r="BD21">
        <v>26.62</v>
      </c>
      <c r="BE21">
        <v>25.08</v>
      </c>
      <c r="BF21">
        <v>26.32</v>
      </c>
      <c r="BG21" s="9"/>
      <c r="BH21" s="9"/>
      <c r="BI21" s="9"/>
      <c r="BJ21" s="9"/>
      <c r="BO21" s="10">
        <v>2018</v>
      </c>
      <c r="BP21" s="24">
        <v>-0.9</v>
      </c>
      <c r="BQ21" s="24">
        <v>-0.9</v>
      </c>
      <c r="BR21" s="24">
        <v>-0.7</v>
      </c>
      <c r="BS21" s="24">
        <v>-0.5</v>
      </c>
      <c r="BT21" s="27">
        <v>-0.2</v>
      </c>
      <c r="BU21" s="27">
        <v>0</v>
      </c>
      <c r="BV21" s="27">
        <v>0.1</v>
      </c>
      <c r="BW21" s="27">
        <v>0.2</v>
      </c>
      <c r="BX21" s="28">
        <v>0.5</v>
      </c>
      <c r="BY21" s="28">
        <v>0.8</v>
      </c>
      <c r="BZ21" s="28">
        <v>0.9</v>
      </c>
      <c r="CA21" s="28">
        <v>0.8</v>
      </c>
      <c r="CC21">
        <v>2018</v>
      </c>
      <c r="CD21">
        <v>27.88</v>
      </c>
      <c r="CE21">
        <v>27.85</v>
      </c>
      <c r="CF21">
        <v>28.1</v>
      </c>
      <c r="CG21">
        <v>28.65</v>
      </c>
      <c r="CH21">
        <v>29.07</v>
      </c>
      <c r="CI21">
        <v>29.21</v>
      </c>
      <c r="CJ21">
        <v>29.13</v>
      </c>
      <c r="CK21">
        <v>29.24</v>
      </c>
      <c r="CL21">
        <v>29.34</v>
      </c>
      <c r="CM21">
        <v>29.71</v>
      </c>
      <c r="CN21">
        <v>29.61</v>
      </c>
      <c r="CO21">
        <v>29.45</v>
      </c>
      <c r="CQ21">
        <v>2018</v>
      </c>
      <c r="CR21">
        <v>23.44</v>
      </c>
      <c r="CS21">
        <v>25.13</v>
      </c>
      <c r="CT21">
        <v>25.13</v>
      </c>
      <c r="CU21">
        <v>24.51</v>
      </c>
      <c r="CV21">
        <v>23.67</v>
      </c>
      <c r="CW21">
        <v>22.4</v>
      </c>
      <c r="CX21">
        <v>21.56</v>
      </c>
      <c r="CY21">
        <v>20.74</v>
      </c>
      <c r="CZ21">
        <v>20.65</v>
      </c>
      <c r="DA21">
        <v>21.18</v>
      </c>
      <c r="DB21">
        <v>22.46</v>
      </c>
      <c r="DC21">
        <v>23.86</v>
      </c>
      <c r="DE21">
        <v>2018</v>
      </c>
      <c r="DF21">
        <v>25.57</v>
      </c>
      <c r="DG21">
        <v>25.97</v>
      </c>
      <c r="DH21">
        <v>26.48</v>
      </c>
      <c r="DI21">
        <v>27.31</v>
      </c>
      <c r="DJ21">
        <v>27.73</v>
      </c>
      <c r="DK21">
        <v>27.77</v>
      </c>
      <c r="DL21">
        <v>27.42</v>
      </c>
      <c r="DM21">
        <v>26.94</v>
      </c>
      <c r="DN21">
        <v>27.19</v>
      </c>
      <c r="DO21">
        <v>27.62</v>
      </c>
      <c r="DP21">
        <v>27.61</v>
      </c>
      <c r="DQ21">
        <v>27.49</v>
      </c>
      <c r="DS21">
        <v>2018</v>
      </c>
      <c r="DT21">
        <v>-1.1339999999999999</v>
      </c>
      <c r="DU21">
        <v>-1.26</v>
      </c>
      <c r="DV21">
        <v>-1.32</v>
      </c>
      <c r="DW21">
        <v>-1.65</v>
      </c>
      <c r="DX21">
        <v>-1.978</v>
      </c>
      <c r="DY21">
        <v>-2.1179999999999999</v>
      </c>
      <c r="DZ21">
        <v>-2.089</v>
      </c>
      <c r="EA21">
        <v>-2.1589999999999998</v>
      </c>
      <c r="EB21">
        <v>-1.9790000000000001</v>
      </c>
      <c r="EC21">
        <v>-1.89</v>
      </c>
      <c r="ED21">
        <v>-1.734</v>
      </c>
      <c r="EE21">
        <v>-1.7</v>
      </c>
      <c r="EG21" s="25">
        <v>2018</v>
      </c>
      <c r="EH21">
        <v>0.4</v>
      </c>
      <c r="EI21">
        <v>-1.03</v>
      </c>
      <c r="EJ21">
        <v>-0.89</v>
      </c>
      <c r="EK21">
        <v>-0.91</v>
      </c>
      <c r="EL21">
        <v>-1.34</v>
      </c>
      <c r="EM21">
        <v>0.51</v>
      </c>
      <c r="EN21">
        <v>-0.37</v>
      </c>
      <c r="EO21">
        <v>1.27</v>
      </c>
      <c r="EP21">
        <v>1.44</v>
      </c>
      <c r="EQ21">
        <v>0.21</v>
      </c>
      <c r="ER21">
        <v>0.24</v>
      </c>
      <c r="ES21">
        <v>0.86</v>
      </c>
      <c r="EU21" s="25">
        <v>2018</v>
      </c>
      <c r="EV21">
        <v>2.72</v>
      </c>
      <c r="EW21">
        <v>1.02</v>
      </c>
      <c r="EX21">
        <v>-0.03</v>
      </c>
      <c r="EY21">
        <v>-1.66</v>
      </c>
      <c r="EZ21">
        <v>0.01</v>
      </c>
      <c r="FA21">
        <v>-1.57</v>
      </c>
      <c r="FB21">
        <v>0.55000000000000004</v>
      </c>
      <c r="FC21">
        <v>-0.78</v>
      </c>
      <c r="FD21">
        <v>1.83</v>
      </c>
      <c r="FE21">
        <v>2.76</v>
      </c>
      <c r="FF21">
        <v>2.84</v>
      </c>
      <c r="FG21">
        <v>1.44</v>
      </c>
      <c r="FI21" s="25">
        <v>2018</v>
      </c>
      <c r="FJ21">
        <v>1.44</v>
      </c>
      <c r="FK21">
        <v>1.58</v>
      </c>
      <c r="FL21">
        <v>-0.93</v>
      </c>
      <c r="FM21">
        <v>1.24</v>
      </c>
      <c r="FN21">
        <v>2.12</v>
      </c>
      <c r="FO21">
        <v>1.0900000000000001</v>
      </c>
      <c r="FP21">
        <v>1.39</v>
      </c>
      <c r="FQ21">
        <v>1.97</v>
      </c>
      <c r="FR21">
        <v>1.67</v>
      </c>
      <c r="FS21">
        <v>0.93</v>
      </c>
      <c r="FT21">
        <v>-0.11</v>
      </c>
      <c r="FU21">
        <v>0.61</v>
      </c>
    </row>
    <row r="22" spans="1:177" ht="15" thickBot="1">
      <c r="A22" s="20">
        <v>39508</v>
      </c>
      <c r="B22" s="3">
        <v>7.957661290322581</v>
      </c>
      <c r="C22" s="3">
        <v>6.4361559139784923</v>
      </c>
      <c r="F22" s="3">
        <v>2.980913978494625</v>
      </c>
      <c r="G22" s="3">
        <v>1.6513440860215056</v>
      </c>
      <c r="H22" s="6">
        <f t="shared" si="0"/>
        <v>5081.9469405220379</v>
      </c>
      <c r="I22" s="6">
        <f t="shared" si="1"/>
        <v>5.7111436950146564</v>
      </c>
      <c r="J22" s="3">
        <v>5.2424731182795679</v>
      </c>
      <c r="K22" s="3">
        <v>4.0560483870967676</v>
      </c>
      <c r="N22" s="3">
        <v>0.55456989247311872</v>
      </c>
      <c r="O22" s="3">
        <v>0.55456989247311872</v>
      </c>
      <c r="P22" s="3">
        <v>84.60927419354843</v>
      </c>
      <c r="Q22" s="3">
        <v>85.563172043010795</v>
      </c>
      <c r="T22" s="3">
        <v>84.686827956989276</v>
      </c>
      <c r="U22" s="3">
        <v>92.517607526881733</v>
      </c>
      <c r="V22" s="3">
        <v>0.98520942146700297</v>
      </c>
      <c r="W22" s="3"/>
      <c r="X22" s="3">
        <v>168.21814516129001</v>
      </c>
      <c r="Y22" s="3">
        <v>153.30000000000001</v>
      </c>
      <c r="Z22" s="3">
        <v>6.6467741935483797</v>
      </c>
      <c r="AA22" s="3">
        <v>5.0056451612903201</v>
      </c>
      <c r="AB22" s="3"/>
      <c r="AC22" s="3">
        <v>3.806451612903226</v>
      </c>
      <c r="AD22" s="3">
        <v>3.5870967741935478</v>
      </c>
      <c r="AE22" s="3"/>
      <c r="AF22" s="3"/>
      <c r="AG22" s="3">
        <v>0.16129032258064516</v>
      </c>
      <c r="AH22" s="3">
        <v>-0.50000000000000011</v>
      </c>
      <c r="AI22" s="6">
        <f t="shared" si="2"/>
        <v>4588.4839924670432</v>
      </c>
      <c r="AJ22" s="6">
        <f t="shared" si="3"/>
        <v>5.6624900026659546</v>
      </c>
      <c r="AK22" s="3">
        <v>2.8580645161290334</v>
      </c>
      <c r="AL22" s="3">
        <v>2.3483870967741933</v>
      </c>
      <c r="AM22" s="3"/>
      <c r="AN22" s="3"/>
      <c r="AO22" s="3">
        <v>-1.661290322580645</v>
      </c>
      <c r="AP22" s="3">
        <v>-1.661290322580645</v>
      </c>
      <c r="AQ22" s="3">
        <v>58.803225806451621</v>
      </c>
      <c r="AR22" s="3">
        <v>68.974193548387106</v>
      </c>
      <c r="AS22" s="3"/>
      <c r="AT22" s="3"/>
      <c r="AU22" s="3">
        <v>71.332258064516125</v>
      </c>
      <c r="AV22" s="3">
        <v>79.587096774193554</v>
      </c>
      <c r="AW22" s="21"/>
      <c r="AX22" s="21"/>
      <c r="AY22" s="20">
        <v>39508</v>
      </c>
      <c r="AZ22" s="21">
        <v>5081.9469405220379</v>
      </c>
      <c r="BA22" s="29">
        <v>-1.29</v>
      </c>
      <c r="BB22" s="29">
        <v>-1.29</v>
      </c>
      <c r="BC22" s="30">
        <v>2.4</v>
      </c>
      <c r="BD22">
        <v>26.97</v>
      </c>
      <c r="BE22">
        <v>26.07</v>
      </c>
      <c r="BF22">
        <v>26.88</v>
      </c>
      <c r="BG22" s="9"/>
      <c r="BH22" s="9"/>
      <c r="BI22" s="9"/>
      <c r="BJ22" s="9"/>
      <c r="BO22" s="10">
        <v>2019</v>
      </c>
      <c r="BP22" s="28">
        <v>0.7</v>
      </c>
      <c r="BQ22" s="28">
        <v>0.7</v>
      </c>
      <c r="BR22" s="28">
        <v>0.7</v>
      </c>
      <c r="BS22" s="28">
        <v>0.7</v>
      </c>
      <c r="BT22" s="28">
        <v>0.5</v>
      </c>
      <c r="BU22" s="28">
        <v>0.5</v>
      </c>
      <c r="BV22" s="27">
        <v>0.3</v>
      </c>
      <c r="BW22" s="27">
        <v>0.1</v>
      </c>
      <c r="BX22" s="27">
        <v>0.2</v>
      </c>
      <c r="BY22" s="27">
        <v>0.3</v>
      </c>
      <c r="BZ22" s="27">
        <v>0.5</v>
      </c>
      <c r="CA22" s="27">
        <v>0.5</v>
      </c>
      <c r="CC22">
        <v>2019</v>
      </c>
      <c r="CD22">
        <v>29.08</v>
      </c>
      <c r="CE22">
        <v>28.91</v>
      </c>
      <c r="CF22">
        <v>28.96</v>
      </c>
      <c r="CG22">
        <v>29.15</v>
      </c>
      <c r="CH22">
        <v>29.45</v>
      </c>
      <c r="CI22">
        <v>29.58</v>
      </c>
      <c r="CJ22">
        <v>29.66</v>
      </c>
      <c r="CK22">
        <v>29.44</v>
      </c>
      <c r="CL22">
        <v>29.34</v>
      </c>
      <c r="CM22">
        <v>29.51</v>
      </c>
      <c r="CN22">
        <v>29.46</v>
      </c>
      <c r="CO22">
        <v>29.41</v>
      </c>
      <c r="CQ22">
        <v>2019</v>
      </c>
      <c r="CR22">
        <v>25.4</v>
      </c>
      <c r="CS22">
        <v>26.62</v>
      </c>
      <c r="CT22">
        <v>26.61</v>
      </c>
      <c r="CU22">
        <v>25.83</v>
      </c>
      <c r="CV22">
        <v>24.61</v>
      </c>
      <c r="CW22">
        <v>22.78</v>
      </c>
      <c r="CX22">
        <v>21.27</v>
      </c>
      <c r="CY22">
        <v>20.239999999999998</v>
      </c>
      <c r="CZ22">
        <v>20.010000000000002</v>
      </c>
      <c r="DA22">
        <v>20.27</v>
      </c>
      <c r="DB22">
        <v>21.55</v>
      </c>
      <c r="DC22">
        <v>22.77</v>
      </c>
      <c r="DE22">
        <v>2019</v>
      </c>
      <c r="DF22">
        <v>27.19</v>
      </c>
      <c r="DG22">
        <v>27.46</v>
      </c>
      <c r="DH22">
        <v>28.09</v>
      </c>
      <c r="DI22">
        <v>28.44</v>
      </c>
      <c r="DJ22">
        <v>28.48</v>
      </c>
      <c r="DK22">
        <v>28.18</v>
      </c>
      <c r="DL22">
        <v>27.64</v>
      </c>
      <c r="DM22">
        <v>26.9</v>
      </c>
      <c r="DN22">
        <v>26.75</v>
      </c>
      <c r="DO22">
        <v>27.2</v>
      </c>
      <c r="DP22">
        <v>27.22</v>
      </c>
      <c r="DQ22">
        <v>27.12</v>
      </c>
      <c r="DS22">
        <v>2019</v>
      </c>
      <c r="DT22">
        <v>-1.7250000000000001</v>
      </c>
      <c r="DU22">
        <v>-1.774</v>
      </c>
      <c r="DV22">
        <v>-1.8919999999999999</v>
      </c>
      <c r="DW22">
        <v>-2.226</v>
      </c>
      <c r="DX22">
        <v>-2.5350000000000001</v>
      </c>
      <c r="DY22">
        <v>-2.75</v>
      </c>
      <c r="DZ22">
        <v>-3.0449999999999999</v>
      </c>
      <c r="EA22">
        <v>-3.3439999999999999</v>
      </c>
      <c r="EB22">
        <v>-3.286</v>
      </c>
      <c r="EC22">
        <v>-3.0009999999999999</v>
      </c>
      <c r="ED22">
        <v>-2.8570000000000002</v>
      </c>
      <c r="EE22">
        <v>-2.5489999999999999</v>
      </c>
      <c r="EG22" s="25">
        <v>2019</v>
      </c>
      <c r="EH22">
        <v>0.83</v>
      </c>
      <c r="EI22">
        <v>-1.08</v>
      </c>
      <c r="EJ22">
        <v>0.25</v>
      </c>
      <c r="EK22">
        <v>-0.61</v>
      </c>
      <c r="EL22">
        <v>-0.28999999999999998</v>
      </c>
      <c r="EM22">
        <v>0.12</v>
      </c>
      <c r="EN22">
        <v>1.1100000000000001</v>
      </c>
      <c r="EO22">
        <v>1.18</v>
      </c>
      <c r="EP22">
        <v>2</v>
      </c>
      <c r="EQ22">
        <v>-1.02</v>
      </c>
      <c r="ER22">
        <v>-0.06</v>
      </c>
      <c r="ES22">
        <v>0.18</v>
      </c>
      <c r="EU22" s="25">
        <v>2019</v>
      </c>
      <c r="EV22">
        <v>2.79</v>
      </c>
      <c r="EW22">
        <v>-1.87</v>
      </c>
      <c r="EX22">
        <v>1.47</v>
      </c>
      <c r="EY22">
        <v>0.86</v>
      </c>
      <c r="EZ22">
        <v>-0.11</v>
      </c>
      <c r="FA22">
        <v>2.21</v>
      </c>
      <c r="FB22">
        <v>-2.2000000000000002</v>
      </c>
      <c r="FC22">
        <v>-2.04</v>
      </c>
      <c r="FD22">
        <v>0.81</v>
      </c>
      <c r="FE22">
        <v>-1.97</v>
      </c>
      <c r="FF22">
        <v>-4.42</v>
      </c>
      <c r="FG22">
        <v>-1.78</v>
      </c>
      <c r="FI22" s="25">
        <v>2019</v>
      </c>
      <c r="FJ22">
        <v>0.59</v>
      </c>
      <c r="FK22">
        <v>0.28999999999999998</v>
      </c>
      <c r="FL22">
        <v>1.23</v>
      </c>
      <c r="FM22">
        <v>0.47</v>
      </c>
      <c r="FN22">
        <v>-2.62</v>
      </c>
      <c r="FO22">
        <v>-1.0900000000000001</v>
      </c>
      <c r="FP22">
        <v>-1.43</v>
      </c>
      <c r="FQ22">
        <v>-1.17</v>
      </c>
      <c r="FR22">
        <v>-0.16</v>
      </c>
      <c r="FS22">
        <v>-1.41</v>
      </c>
      <c r="FT22">
        <v>0.28000000000000003</v>
      </c>
      <c r="FU22">
        <v>1.2</v>
      </c>
    </row>
    <row r="23" spans="1:177" ht="15" thickBot="1">
      <c r="A23" s="20">
        <v>39539</v>
      </c>
      <c r="B23" s="3">
        <v>8.7118055555555554</v>
      </c>
      <c r="C23" s="3">
        <v>7.1312500000000023</v>
      </c>
      <c r="F23" s="3">
        <v>3.7608333333333324</v>
      </c>
      <c r="G23" s="3">
        <v>2.6411111111111136</v>
      </c>
      <c r="H23" s="6">
        <f t="shared" si="0"/>
        <v>5235.0809741624416</v>
      </c>
      <c r="I23" s="6">
        <f t="shared" si="1"/>
        <v>5.5709366391184636</v>
      </c>
      <c r="J23" s="3">
        <v>5.3718055555555448</v>
      </c>
      <c r="K23" s="3">
        <v>4.073749999999996</v>
      </c>
      <c r="N23" s="3">
        <v>0.50680555555555529</v>
      </c>
      <c r="O23" s="3">
        <v>0.50680555555555529</v>
      </c>
      <c r="P23" s="3">
        <v>81.634166666666772</v>
      </c>
      <c r="Q23" s="3">
        <v>82.227083333333397</v>
      </c>
      <c r="T23" s="3">
        <v>80.489722222222227</v>
      </c>
      <c r="U23" s="3">
        <v>86.703749999999971</v>
      </c>
      <c r="V23" s="3">
        <v>1.0918878725927501</v>
      </c>
      <c r="W23" s="3"/>
      <c r="X23" s="3">
        <v>185.076388888888</v>
      </c>
      <c r="Y23" s="3">
        <v>104.6</v>
      </c>
      <c r="Z23" s="3">
        <v>7.30555555555555</v>
      </c>
      <c r="AA23" s="3">
        <v>5.2340277777777704</v>
      </c>
      <c r="AB23" s="3"/>
      <c r="AC23" s="3">
        <v>3.6666666666666665</v>
      </c>
      <c r="AD23" s="3">
        <v>3.8</v>
      </c>
      <c r="AE23" s="3"/>
      <c r="AF23" s="3"/>
      <c r="AG23" s="3">
        <v>0.4366666666666667</v>
      </c>
      <c r="AH23" s="3">
        <v>-0.13666666666666663</v>
      </c>
      <c r="AI23" s="6">
        <f t="shared" si="2"/>
        <v>4638.548067393459</v>
      </c>
      <c r="AJ23" s="6">
        <f t="shared" si="3"/>
        <v>5.559228650137741</v>
      </c>
      <c r="AK23" s="3">
        <v>2.5433333333333334</v>
      </c>
      <c r="AL23" s="3">
        <v>2.2100000000000004</v>
      </c>
      <c r="AM23" s="3"/>
      <c r="AN23" s="3"/>
      <c r="AO23" s="3">
        <v>-1.803333333333333</v>
      </c>
      <c r="AP23" s="3">
        <v>-1.803333333333333</v>
      </c>
      <c r="AQ23" s="3">
        <v>54.75333333333333</v>
      </c>
      <c r="AR23" s="3">
        <v>61.59</v>
      </c>
      <c r="AS23" s="3"/>
      <c r="AT23" s="3"/>
      <c r="AU23" s="3">
        <v>61.723333333333343</v>
      </c>
      <c r="AV23" s="3">
        <v>70.713333333333338</v>
      </c>
      <c r="AW23" s="21"/>
      <c r="AX23" s="21"/>
      <c r="AY23" s="20">
        <v>39539</v>
      </c>
      <c r="AZ23" s="21">
        <v>5235.0809741624416</v>
      </c>
      <c r="BA23" s="29">
        <v>-1.01</v>
      </c>
      <c r="BB23" s="29">
        <v>-1.01</v>
      </c>
      <c r="BC23" s="30">
        <v>1.1000000000000001</v>
      </c>
      <c r="BD23">
        <v>27.46</v>
      </c>
      <c r="BE23">
        <v>26.83</v>
      </c>
      <c r="BF23">
        <v>25.94</v>
      </c>
      <c r="BG23" s="9"/>
      <c r="BH23" s="9"/>
      <c r="BI23" s="9"/>
      <c r="BJ23" s="9"/>
      <c r="BO23" s="10">
        <v>2020</v>
      </c>
      <c r="BP23" s="27">
        <v>0.5</v>
      </c>
      <c r="BQ23" s="27">
        <v>0.5</v>
      </c>
      <c r="BR23" s="27">
        <v>0.4</v>
      </c>
      <c r="BS23" s="27">
        <v>0.2</v>
      </c>
      <c r="BT23" s="27">
        <v>-0.1</v>
      </c>
      <c r="BU23" s="27">
        <v>-0.3</v>
      </c>
      <c r="BV23" s="27">
        <v>-0.4</v>
      </c>
      <c r="BW23" s="24">
        <v>-0.6</v>
      </c>
      <c r="BX23" s="24">
        <v>-0.9</v>
      </c>
      <c r="BY23" s="24">
        <v>-1.2</v>
      </c>
      <c r="BZ23" s="24">
        <v>-1.3</v>
      </c>
      <c r="CA23" s="24">
        <v>-1.2</v>
      </c>
      <c r="CC23">
        <v>2020</v>
      </c>
      <c r="CD23">
        <v>29.16</v>
      </c>
      <c r="CE23">
        <v>28.97</v>
      </c>
      <c r="CF23">
        <v>29.07</v>
      </c>
      <c r="CG23">
        <v>29.15</v>
      </c>
      <c r="CH23">
        <v>29</v>
      </c>
      <c r="CI23">
        <v>29.09</v>
      </c>
      <c r="CJ23">
        <v>28.89</v>
      </c>
      <c r="CK23">
        <v>28.47</v>
      </c>
      <c r="CL23">
        <v>28.21</v>
      </c>
      <c r="CM23">
        <v>27.97</v>
      </c>
      <c r="CQ23">
        <v>2020</v>
      </c>
      <c r="CR23">
        <v>24.2</v>
      </c>
      <c r="CS23">
        <v>26.12</v>
      </c>
      <c r="CT23">
        <v>26.42</v>
      </c>
      <c r="CU23">
        <v>25.81</v>
      </c>
      <c r="CV23">
        <v>24.28</v>
      </c>
      <c r="CW23">
        <v>22.42</v>
      </c>
      <c r="CX23">
        <v>20.68</v>
      </c>
      <c r="CY23">
        <v>19.96</v>
      </c>
      <c r="CZ23">
        <v>19.510000000000002</v>
      </c>
      <c r="DA23">
        <v>20.239999999999998</v>
      </c>
      <c r="DE23">
        <v>2020</v>
      </c>
      <c r="DF23">
        <v>27.14</v>
      </c>
      <c r="DG23">
        <v>27.11</v>
      </c>
      <c r="DH23">
        <v>27.76</v>
      </c>
      <c r="DI23">
        <v>28.17</v>
      </c>
      <c r="DJ23">
        <v>27.65</v>
      </c>
      <c r="DK23">
        <v>27.38</v>
      </c>
      <c r="DL23">
        <v>26.98</v>
      </c>
      <c r="DM23">
        <v>26.26</v>
      </c>
      <c r="DN23">
        <v>25.88</v>
      </c>
      <c r="DO23">
        <v>25.46</v>
      </c>
      <c r="DP23">
        <v>25.31</v>
      </c>
      <c r="DQ23">
        <v>-99.99</v>
      </c>
      <c r="DS23">
        <v>2020</v>
      </c>
      <c r="DT23">
        <v>-2.2080000000000002</v>
      </c>
      <c r="DU23">
        <v>-2.0289999999999999</v>
      </c>
      <c r="DV23">
        <v>-1.8109999999999999</v>
      </c>
      <c r="DW23">
        <v>-1.756</v>
      </c>
      <c r="DX23">
        <v>-1.891</v>
      </c>
      <c r="DY23">
        <v>-1.855</v>
      </c>
      <c r="DZ23">
        <v>-1.72</v>
      </c>
      <c r="EA23">
        <v>-1.5860000000000001</v>
      </c>
      <c r="EG23" s="25">
        <v>2020</v>
      </c>
      <c r="EH23">
        <v>-0.24</v>
      </c>
      <c r="EI23">
        <v>0.17</v>
      </c>
      <c r="EJ23">
        <v>-2.17</v>
      </c>
      <c r="EK23">
        <v>-1.18</v>
      </c>
      <c r="EL23">
        <v>0.21</v>
      </c>
      <c r="EM23">
        <v>0.7</v>
      </c>
      <c r="EN23">
        <v>1.73</v>
      </c>
      <c r="EO23">
        <v>1.82</v>
      </c>
      <c r="EP23">
        <v>0.75</v>
      </c>
      <c r="EQ23">
        <v>-1.1299999999999999</v>
      </c>
      <c r="EU23" s="25">
        <v>2020</v>
      </c>
      <c r="EV23">
        <v>0.56999999999999995</v>
      </c>
      <c r="EW23">
        <v>-0.36</v>
      </c>
      <c r="EX23">
        <v>2.0499999999999998</v>
      </c>
      <c r="EY23">
        <v>-1.72</v>
      </c>
      <c r="EZ23">
        <v>1.03</v>
      </c>
      <c r="FA23">
        <v>1.18</v>
      </c>
      <c r="FB23">
        <v>-0.97</v>
      </c>
      <c r="FC23">
        <v>-2.2000000000000002</v>
      </c>
      <c r="FD23">
        <v>-0.25</v>
      </c>
      <c r="FE23">
        <v>1.79</v>
      </c>
      <c r="FI23" s="25">
        <v>2020</v>
      </c>
      <c r="FJ23">
        <v>1.34</v>
      </c>
      <c r="FK23">
        <v>1.26</v>
      </c>
      <c r="FL23">
        <v>1.01</v>
      </c>
      <c r="FM23">
        <v>-1.02</v>
      </c>
      <c r="FN23">
        <v>-0.41</v>
      </c>
      <c r="FO23">
        <v>-0.15</v>
      </c>
      <c r="FP23">
        <v>-1.23</v>
      </c>
      <c r="FQ23">
        <v>0.12</v>
      </c>
      <c r="FR23">
        <v>0.98</v>
      </c>
      <c r="FS23">
        <v>-0.65</v>
      </c>
    </row>
    <row r="24" spans="1:177" ht="15" thickBot="1">
      <c r="A24" s="20">
        <v>39569</v>
      </c>
      <c r="B24" s="3">
        <v>8.9732824427480917</v>
      </c>
      <c r="C24" s="3">
        <v>7.5680107526881688</v>
      </c>
      <c r="F24" s="3">
        <v>4.293682795698925</v>
      </c>
      <c r="G24" s="3">
        <v>3.3185483870967731</v>
      </c>
      <c r="H24" s="6">
        <f t="shared" si="0"/>
        <v>5353.3469479906416</v>
      </c>
      <c r="I24" s="6">
        <f t="shared" si="1"/>
        <v>5.412112325602056</v>
      </c>
      <c r="J24" s="3">
        <v>5.3244274809160315</v>
      </c>
      <c r="K24" s="3">
        <v>2.37190860215054</v>
      </c>
      <c r="N24" s="3">
        <v>-1.4577956989247314</v>
      </c>
      <c r="O24" s="3">
        <v>-1.4577956989247314</v>
      </c>
      <c r="P24" s="3">
        <v>80.21755725190836</v>
      </c>
      <c r="Q24" s="3">
        <v>71.940053763440758</v>
      </c>
      <c r="T24" s="3">
        <v>68.765591397849448</v>
      </c>
      <c r="U24" s="3">
        <v>73.0807795698924</v>
      </c>
      <c r="V24" s="3">
        <v>0.90615078671842697</v>
      </c>
      <c r="W24" s="3"/>
      <c r="X24" s="3">
        <v>181.22876344086001</v>
      </c>
      <c r="Y24" s="3">
        <v>18.8</v>
      </c>
      <c r="Z24" s="3">
        <v>7.12379032258064</v>
      </c>
      <c r="AA24" s="3">
        <v>3.43333333333333</v>
      </c>
      <c r="AB24" s="3"/>
      <c r="AC24" s="3">
        <v>3.5833333333333335</v>
      </c>
      <c r="AD24" s="3">
        <v>3.2999999999999994</v>
      </c>
      <c r="AE24" s="3"/>
      <c r="AF24" s="3"/>
      <c r="AG24" s="3">
        <v>0.2709677419354839</v>
      </c>
      <c r="AH24" s="3">
        <v>-0.31935483870967746</v>
      </c>
      <c r="AI24" s="6">
        <f t="shared" si="2"/>
        <v>4614.1214057507987</v>
      </c>
      <c r="AJ24" s="6">
        <f t="shared" si="3"/>
        <v>5.0066648893628365</v>
      </c>
      <c r="AK24" s="3">
        <v>2.416666666666667</v>
      </c>
      <c r="AL24" s="3">
        <v>0.37096774193548387</v>
      </c>
      <c r="AM24" s="3"/>
      <c r="AN24" s="3"/>
      <c r="AO24" s="3">
        <v>-4.6161290322580646</v>
      </c>
      <c r="AP24" s="3">
        <v>-4.6161290322580646</v>
      </c>
      <c r="AQ24" s="3">
        <v>49.35</v>
      </c>
      <c r="AR24" s="3">
        <v>48.338709677419352</v>
      </c>
      <c r="AS24" s="3"/>
      <c r="AT24" s="3"/>
      <c r="AU24" s="3">
        <v>45.287096774193536</v>
      </c>
      <c r="AV24" s="3">
        <v>53.854838709677423</v>
      </c>
      <c r="AW24" s="21"/>
      <c r="AX24" s="21"/>
      <c r="AY24" s="20">
        <v>39569</v>
      </c>
      <c r="AZ24" s="21">
        <v>5353.3469479906416</v>
      </c>
      <c r="BA24" s="29">
        <v>-0.84</v>
      </c>
      <c r="BB24" s="29">
        <v>-0.84</v>
      </c>
      <c r="BC24" s="30">
        <v>-0.1</v>
      </c>
      <c r="BD24">
        <v>27.81</v>
      </c>
      <c r="BE24">
        <v>27.09</v>
      </c>
      <c r="BF24">
        <v>24.95</v>
      </c>
      <c r="BG24" s="9"/>
      <c r="BH24" s="9"/>
      <c r="BI24" s="9"/>
      <c r="BJ24" s="9"/>
      <c r="BO24" s="10">
        <v>2021</v>
      </c>
      <c r="BP24" s="24">
        <v>-1</v>
      </c>
      <c r="BQ24" s="24">
        <v>-0.9</v>
      </c>
      <c r="BR24" s="24">
        <v>-0.8</v>
      </c>
      <c r="BS24" s="24">
        <v>-0.7</v>
      </c>
      <c r="BT24" s="24">
        <v>-0.5</v>
      </c>
      <c r="BU24" s="27">
        <v>-0.4</v>
      </c>
      <c r="BV24" s="27">
        <v>-0.4</v>
      </c>
      <c r="BW24" s="24">
        <v>-0.5</v>
      </c>
      <c r="BX24" s="24">
        <v>-0.7</v>
      </c>
      <c r="BY24" s="24">
        <v>-0.8</v>
      </c>
      <c r="BZ24" s="24">
        <v>-1</v>
      </c>
      <c r="CA24" s="24">
        <v>-1</v>
      </c>
    </row>
    <row r="25" spans="1:177" ht="15" thickBot="1">
      <c r="A25" s="20">
        <v>39600</v>
      </c>
      <c r="B25" s="3"/>
      <c r="C25" s="3">
        <v>7.6500000000000048</v>
      </c>
      <c r="F25" s="3">
        <v>4.1349999999999945</v>
      </c>
      <c r="G25" s="3">
        <v>2.8266666666666702</v>
      </c>
      <c r="H25" s="6">
        <f t="shared" si="0"/>
        <v>5271.7140825035531</v>
      </c>
      <c r="I25" s="6">
        <f t="shared" si="1"/>
        <v>5.8099173553719181</v>
      </c>
      <c r="K25" s="3">
        <v>4.7222222222225545E-3</v>
      </c>
      <c r="N25" s="3">
        <v>-3.1548611111111118</v>
      </c>
      <c r="O25" s="3">
        <v>-3.1548611111111118</v>
      </c>
      <c r="Q25" s="3">
        <v>61.398194444444442</v>
      </c>
      <c r="T25" s="3">
        <v>62.736111111111057</v>
      </c>
      <c r="U25" s="3">
        <v>67.782500000000013</v>
      </c>
      <c r="V25" s="3">
        <v>1.02847582071471</v>
      </c>
      <c r="W25" s="3"/>
      <c r="X25" s="3">
        <v>178.53583333333299</v>
      </c>
      <c r="Y25" s="3">
        <v>16.399999999999999</v>
      </c>
      <c r="Z25" s="3">
        <v>6.9491666666666596</v>
      </c>
      <c r="AA25" s="3">
        <v>0.948888888888889</v>
      </c>
      <c r="AB25" s="3"/>
      <c r="AC25" s="3"/>
      <c r="AD25" s="3">
        <v>3.21</v>
      </c>
      <c r="AE25" s="3"/>
      <c r="AF25" s="3"/>
      <c r="AG25" s="3">
        <v>-0.14666666666666664</v>
      </c>
      <c r="AH25" s="3">
        <v>-0.85000000000000009</v>
      </c>
      <c r="AI25" s="6">
        <f t="shared" si="2"/>
        <v>4533.5650446871896</v>
      </c>
      <c r="AJ25" s="6">
        <f t="shared" si="3"/>
        <v>5.5482093663911849</v>
      </c>
      <c r="AK25" s="3"/>
      <c r="AL25" s="3">
        <v>-2.0366666666666671</v>
      </c>
      <c r="AM25" s="3"/>
      <c r="AN25" s="3"/>
      <c r="AO25" s="3">
        <v>-5.956666666666667</v>
      </c>
      <c r="AP25" s="3">
        <v>-5.956666666666667</v>
      </c>
      <c r="AQ25" s="3"/>
      <c r="AR25" s="3">
        <v>39.236666666666679</v>
      </c>
      <c r="AS25" s="3"/>
      <c r="AT25" s="3"/>
      <c r="AU25" s="3">
        <v>36.986666666666665</v>
      </c>
      <c r="AV25" s="3">
        <v>50.456666666666663</v>
      </c>
      <c r="AW25" s="21"/>
      <c r="AX25" s="21"/>
      <c r="AY25" s="20">
        <v>39600</v>
      </c>
      <c r="AZ25" s="21">
        <v>5271.7140825035531</v>
      </c>
      <c r="BA25" s="29">
        <v>-0.61</v>
      </c>
      <c r="BB25" s="29">
        <v>-0.61</v>
      </c>
      <c r="BC25" s="30">
        <v>1</v>
      </c>
      <c r="BD25">
        <v>27.96</v>
      </c>
      <c r="BE25">
        <v>27.04</v>
      </c>
      <c r="BF25">
        <v>23.68</v>
      </c>
      <c r="BG25" s="9"/>
      <c r="BH25" s="9"/>
      <c r="BI25" s="9"/>
      <c r="BJ25" s="9"/>
      <c r="BO25" s="10">
        <v>2022</v>
      </c>
      <c r="BP25" s="24">
        <v>-1</v>
      </c>
      <c r="BQ25" s="24">
        <v>-0.9</v>
      </c>
      <c r="BR25" s="24">
        <v>-1</v>
      </c>
      <c r="BS25" s="24">
        <v>-1.1000000000000001</v>
      </c>
      <c r="BT25" s="24">
        <v>-1</v>
      </c>
      <c r="BU25" s="24">
        <v>-0.9</v>
      </c>
      <c r="BV25" s="24">
        <v>-0.8</v>
      </c>
      <c r="BW25" s="24">
        <v>-0.9</v>
      </c>
      <c r="BX25" s="24">
        <v>-1</v>
      </c>
      <c r="BY25" s="24">
        <v>-1</v>
      </c>
      <c r="BZ25" s="24">
        <v>-0.9</v>
      </c>
      <c r="CA25" s="24">
        <v>-0.8</v>
      </c>
    </row>
    <row r="26" spans="1:177" ht="15" thickBot="1">
      <c r="A26" s="20">
        <v>39630</v>
      </c>
      <c r="B26" s="3">
        <v>7.4402173913043477</v>
      </c>
      <c r="C26" s="3">
        <v>7.4178763440860207</v>
      </c>
      <c r="D26" s="3">
        <v>5.4398351648351655</v>
      </c>
      <c r="E26" s="3">
        <v>3.9037138927097663</v>
      </c>
      <c r="F26" s="3">
        <v>2.465591397849463</v>
      </c>
      <c r="G26" s="3">
        <v>2.8034946236559142</v>
      </c>
      <c r="H26" s="6">
        <f t="shared" si="0"/>
        <v>4842.6152429704271</v>
      </c>
      <c r="I26" s="6">
        <f t="shared" si="1"/>
        <v>7.9418154121617022</v>
      </c>
      <c r="J26" s="3">
        <v>-0.60801630434782605</v>
      </c>
      <c r="K26" s="3">
        <v>-1.0603494623655914</v>
      </c>
      <c r="L26" s="3">
        <v>-2.2188186813186808</v>
      </c>
      <c r="M26" s="3">
        <v>-3.1691884456671202</v>
      </c>
      <c r="N26" s="3">
        <v>-4.2599462365591432</v>
      </c>
      <c r="O26" s="3">
        <v>-4.3176075268817229</v>
      </c>
      <c r="P26" s="3">
        <v>61.483967391304247</v>
      </c>
      <c r="Q26" s="3">
        <v>57.68454301075267</v>
      </c>
      <c r="R26" s="3">
        <v>60.453846153846129</v>
      </c>
      <c r="S26" s="3">
        <v>62.176066024759194</v>
      </c>
      <c r="T26" s="3">
        <v>63.521505376343995</v>
      </c>
      <c r="U26" s="3">
        <v>62.720430107526845</v>
      </c>
      <c r="V26" s="3">
        <v>0.95008948486782696</v>
      </c>
      <c r="W26" s="3"/>
      <c r="X26" s="3">
        <v>186.69327956989201</v>
      </c>
      <c r="Y26" s="3">
        <v>0.6</v>
      </c>
      <c r="Z26" s="3">
        <v>6.3396505376343999</v>
      </c>
      <c r="AA26" s="3">
        <v>-1.2231182795698899E-2</v>
      </c>
      <c r="AB26" s="3"/>
      <c r="AC26" s="3">
        <v>-0.19354838709677419</v>
      </c>
      <c r="AD26" s="3">
        <v>2.4870967741935481</v>
      </c>
      <c r="AE26" s="3">
        <v>1.2290322580645161</v>
      </c>
      <c r="AF26" s="3">
        <v>0.54838709677419351</v>
      </c>
      <c r="AG26" s="3">
        <v>-0.84838709677419344</v>
      </c>
      <c r="AH26" s="3">
        <v>-1.2741935483870968</v>
      </c>
      <c r="AI26" s="6">
        <f t="shared" si="2"/>
        <v>4408.462607039377</v>
      </c>
      <c r="AJ26" s="6">
        <f t="shared" si="3"/>
        <v>5.1757891210896378</v>
      </c>
      <c r="AK26" s="3">
        <v>-3.0225806451612893</v>
      </c>
      <c r="AL26" s="3">
        <v>-3.2032258064516133</v>
      </c>
      <c r="AM26" s="3">
        <v>-4.6064516129032258</v>
      </c>
      <c r="AN26" s="3">
        <v>-6.0387096774193534</v>
      </c>
      <c r="AO26" s="3">
        <v>-8.17741935483871</v>
      </c>
      <c r="AP26" s="3">
        <v>-8.17741935483871</v>
      </c>
      <c r="AQ26" s="3">
        <v>30.412903225806449</v>
      </c>
      <c r="AR26" s="3">
        <v>34.554838709677419</v>
      </c>
      <c r="AS26" s="3">
        <v>37.009677419354837</v>
      </c>
      <c r="AT26" s="3">
        <v>43.564516129032263</v>
      </c>
      <c r="AU26" s="3">
        <v>45.274193548387103</v>
      </c>
      <c r="AV26" s="3">
        <v>40.154838709677414</v>
      </c>
      <c r="AW26" s="21"/>
      <c r="AX26" s="21"/>
      <c r="AY26" s="20">
        <v>39630</v>
      </c>
      <c r="AZ26" s="21">
        <v>4842.6152429704271</v>
      </c>
      <c r="BA26" s="22">
        <v>-0.37</v>
      </c>
      <c r="BB26" s="22">
        <v>-0.37</v>
      </c>
      <c r="BC26" s="30">
        <v>0.5</v>
      </c>
      <c r="BD26">
        <v>28.07</v>
      </c>
      <c r="BE26">
        <v>26.99</v>
      </c>
      <c r="BF26">
        <v>22.95</v>
      </c>
      <c r="BG26" s="9"/>
      <c r="BH26" s="9"/>
      <c r="BI26" s="9"/>
      <c r="BJ26" s="9"/>
      <c r="BO26" s="10">
        <v>2023</v>
      </c>
      <c r="BP26" s="24">
        <v>-0.7</v>
      </c>
      <c r="BQ26" s="27">
        <v>-0.4</v>
      </c>
      <c r="BR26" s="27">
        <v>-0.1</v>
      </c>
      <c r="BS26" s="27">
        <v>0.2</v>
      </c>
      <c r="BT26" s="28">
        <v>0.5</v>
      </c>
      <c r="BU26" s="28">
        <v>0.8</v>
      </c>
      <c r="BV26" s="28">
        <v>1.1000000000000001</v>
      </c>
      <c r="BW26" s="28">
        <v>1.3</v>
      </c>
      <c r="BX26" s="28">
        <v>1.6</v>
      </c>
      <c r="BY26" s="28">
        <v>1.8</v>
      </c>
      <c r="BZ26" s="28">
        <v>1.9</v>
      </c>
      <c r="CA26" s="28">
        <v>2</v>
      </c>
    </row>
    <row r="27" spans="1:177" ht="15" thickBot="1">
      <c r="A27" s="20">
        <v>39661</v>
      </c>
      <c r="B27" s="3">
        <v>8.6498655913978499</v>
      </c>
      <c r="C27" s="3">
        <v>8.2721774193548381</v>
      </c>
      <c r="D27" s="3">
        <v>6.1529569892473122</v>
      </c>
      <c r="E27" s="3">
        <v>4.368951612903226</v>
      </c>
      <c r="F27" s="3">
        <v>2.7797043010752689</v>
      </c>
      <c r="G27" s="3">
        <v>3.1001344086021505</v>
      </c>
      <c r="H27" s="6">
        <f t="shared" si="0"/>
        <v>4848.4632926241129</v>
      </c>
      <c r="I27" s="6">
        <f t="shared" si="1"/>
        <v>8.8556560484139109</v>
      </c>
      <c r="J27" s="3">
        <v>1.1568548387096762</v>
      </c>
      <c r="K27" s="3">
        <v>0.4184139784946232</v>
      </c>
      <c r="L27" s="3">
        <v>-0.77258064516129077</v>
      </c>
      <c r="M27" s="3">
        <v>-1.8442204301075262</v>
      </c>
      <c r="N27" s="3">
        <v>-2.5428763440860229</v>
      </c>
      <c r="O27" s="3">
        <v>-2.6305107526881732</v>
      </c>
      <c r="P27" s="3">
        <v>64.622715053763443</v>
      </c>
      <c r="Q27" s="3">
        <v>61.155241935483843</v>
      </c>
      <c r="R27" s="3">
        <v>64.448655913978484</v>
      </c>
      <c r="S27" s="3">
        <v>66.287499999999852</v>
      </c>
      <c r="T27" s="3">
        <v>69.607123655914052</v>
      </c>
      <c r="U27" s="3">
        <v>68.971505376344155</v>
      </c>
      <c r="V27" s="3">
        <v>1.0297028149485701</v>
      </c>
      <c r="W27" s="3"/>
      <c r="X27" s="3">
        <v>215.32137096774099</v>
      </c>
      <c r="Y27" s="3">
        <v>4.8</v>
      </c>
      <c r="Z27" s="3">
        <v>7.5137096774193504</v>
      </c>
      <c r="AA27" s="3">
        <v>1.7096774193548301</v>
      </c>
      <c r="AB27" s="3"/>
      <c r="AC27" s="3">
        <v>0.967741935483871</v>
      </c>
      <c r="AD27" s="3">
        <v>3.370967741935484</v>
      </c>
      <c r="AE27" s="3">
        <v>1.7258064516129032</v>
      </c>
      <c r="AF27" s="3">
        <v>0.88709677419354838</v>
      </c>
      <c r="AG27" s="3">
        <v>-0.88709677419354838</v>
      </c>
      <c r="AH27" s="3">
        <v>-0.85483870967741937</v>
      </c>
      <c r="AI27" s="6">
        <f t="shared" si="2"/>
        <v>4435.5835542301747</v>
      </c>
      <c r="AJ27" s="6">
        <f t="shared" si="3"/>
        <v>6.5885102461547227</v>
      </c>
      <c r="AK27" s="3">
        <v>-1.4322580645161291</v>
      </c>
      <c r="AL27" s="3">
        <v>-1.8580645161290319</v>
      </c>
      <c r="AM27" s="3">
        <v>-2.9580645161290327</v>
      </c>
      <c r="AN27" s="3">
        <v>-4.2419354838709689</v>
      </c>
      <c r="AO27" s="3">
        <v>-5.7451612903225806</v>
      </c>
      <c r="AP27" s="3">
        <v>-5.741935483870968</v>
      </c>
      <c r="AQ27" s="3">
        <v>30.241935483870964</v>
      </c>
      <c r="AR27" s="3">
        <v>33.016129032258071</v>
      </c>
      <c r="AS27" s="3">
        <v>35.516129032258064</v>
      </c>
      <c r="AT27" s="3">
        <v>43.100000000000009</v>
      </c>
      <c r="AU27" s="3">
        <v>46.641935483870974</v>
      </c>
      <c r="AV27" s="3">
        <v>41.119354838709668</v>
      </c>
      <c r="AW27" s="21"/>
      <c r="AX27" s="21"/>
      <c r="AY27" s="20">
        <v>39661</v>
      </c>
      <c r="AZ27" s="21">
        <v>4848.4632926241129</v>
      </c>
      <c r="BA27" s="22">
        <v>-0.23</v>
      </c>
      <c r="BB27" s="22">
        <v>-0.23</v>
      </c>
      <c r="BC27" s="30">
        <v>1.7</v>
      </c>
      <c r="BD27">
        <v>28.04</v>
      </c>
      <c r="BE27">
        <v>26.72</v>
      </c>
      <c r="BF27">
        <v>22.4</v>
      </c>
      <c r="BG27" s="9"/>
      <c r="BH27" s="9"/>
      <c r="BI27" s="9"/>
      <c r="BJ27" s="9"/>
      <c r="BO27" s="10">
        <v>2024</v>
      </c>
      <c r="BP27" s="28">
        <v>1.8</v>
      </c>
      <c r="BQ27" s="28">
        <v>1.5</v>
      </c>
      <c r="BR27" s="28">
        <v>1.1000000000000001</v>
      </c>
      <c r="BS27" s="28">
        <v>0.7</v>
      </c>
      <c r="BT27" s="27">
        <v>0.4</v>
      </c>
      <c r="BU27" s="27">
        <v>0.2</v>
      </c>
      <c r="BV27" s="27">
        <v>0</v>
      </c>
      <c r="BW27" s="27">
        <v>-0.1</v>
      </c>
      <c r="BX27" s="27">
        <v>-0.2</v>
      </c>
      <c r="BY27" s="31"/>
      <c r="BZ27" s="31"/>
      <c r="CA27" s="32"/>
    </row>
    <row r="28" spans="1:177" ht="15" thickBot="1">
      <c r="A28" s="20">
        <v>39692</v>
      </c>
      <c r="B28" s="3">
        <v>8.7347222222222225</v>
      </c>
      <c r="C28" s="3">
        <v>8.2041666666666675</v>
      </c>
      <c r="D28" s="3">
        <v>5.9249999999999998</v>
      </c>
      <c r="E28" s="3">
        <v>4.1791666666666663</v>
      </c>
      <c r="F28" s="3">
        <v>2.6222222222222231</v>
      </c>
      <c r="G28" s="3">
        <v>2.65625</v>
      </c>
      <c r="H28" s="6">
        <f t="shared" si="0"/>
        <v>4820.3688663453031</v>
      </c>
      <c r="I28" s="6">
        <f t="shared" si="1"/>
        <v>8.954420366271135</v>
      </c>
      <c r="J28" s="3">
        <v>1.2284722222222215</v>
      </c>
      <c r="K28" s="3">
        <v>1.0933333333333335</v>
      </c>
      <c r="L28" s="3">
        <v>-5.8472222222222363E-2</v>
      </c>
      <c r="M28" s="3">
        <v>-1.1547222222222224</v>
      </c>
      <c r="N28" s="3">
        <v>-1.6801388888888902</v>
      </c>
      <c r="O28" s="3">
        <v>-1.7743055555555562</v>
      </c>
      <c r="P28" s="3">
        <v>63.836249999999964</v>
      </c>
      <c r="Q28" s="3">
        <v>63.785138888888881</v>
      </c>
      <c r="R28" s="3">
        <v>68.433333333333351</v>
      </c>
      <c r="S28" s="3">
        <v>70.740833333333342</v>
      </c>
      <c r="T28" s="3">
        <v>75.131666666666646</v>
      </c>
      <c r="U28" s="3">
        <v>75.987916666666692</v>
      </c>
      <c r="V28" s="3">
        <v>1.20736157439706</v>
      </c>
      <c r="W28" s="3"/>
      <c r="X28" s="3">
        <v>207.04972222222199</v>
      </c>
      <c r="Y28" s="3">
        <v>41.8</v>
      </c>
      <c r="Z28" s="3">
        <v>7.83083333333333</v>
      </c>
      <c r="AA28" s="3">
        <v>1.8131944444444399</v>
      </c>
      <c r="AB28" s="3"/>
      <c r="AC28" s="3">
        <v>1.6666666666666667</v>
      </c>
      <c r="AD28" s="3">
        <v>3.7</v>
      </c>
      <c r="AE28" s="3">
        <v>1.9166666666666667</v>
      </c>
      <c r="AF28" s="3">
        <v>1</v>
      </c>
      <c r="AG28" s="3">
        <v>-0.4966666666666667</v>
      </c>
      <c r="AH28" s="3">
        <v>-0.6166666666666667</v>
      </c>
      <c r="AI28" s="6">
        <f t="shared" si="2"/>
        <v>4475.2756037596637</v>
      </c>
      <c r="AJ28" s="6">
        <f t="shared" si="3"/>
        <v>6.5246677243751128</v>
      </c>
      <c r="AK28" s="3">
        <v>-1.0266666666666668</v>
      </c>
      <c r="AL28" s="3">
        <v>-0.8200000000000004</v>
      </c>
      <c r="AM28" s="3">
        <v>-2.1399999999999992</v>
      </c>
      <c r="AN28" s="3">
        <v>-3.436666666666667</v>
      </c>
      <c r="AO28" s="3">
        <v>-4.5133333333333345</v>
      </c>
      <c r="AP28" s="3">
        <v>-4.5133333333333345</v>
      </c>
      <c r="AQ28" s="3">
        <v>31.136666666666667</v>
      </c>
      <c r="AR28" s="3">
        <v>39.383333333333333</v>
      </c>
      <c r="AS28" s="3">
        <v>44.236666666666672</v>
      </c>
      <c r="AT28" s="3">
        <v>51.466666666666654</v>
      </c>
      <c r="AU28" s="3">
        <v>55.353333333333339</v>
      </c>
      <c r="AV28" s="3">
        <v>51.756666666666668</v>
      </c>
      <c r="AW28" s="21"/>
      <c r="AX28" s="21"/>
      <c r="AY28" s="20">
        <v>39692</v>
      </c>
      <c r="AZ28" s="21">
        <v>4820.3688663453031</v>
      </c>
      <c r="BA28" s="22">
        <v>-0.24</v>
      </c>
      <c r="BB28" s="22">
        <v>-0.24</v>
      </c>
      <c r="BC28" s="30">
        <v>2</v>
      </c>
      <c r="BD28">
        <v>28.08</v>
      </c>
      <c r="BE28">
        <v>26.47</v>
      </c>
      <c r="BF28">
        <v>21.75</v>
      </c>
      <c r="BG28" s="9"/>
      <c r="BH28" s="9"/>
      <c r="BI28" s="9"/>
      <c r="BJ28" s="9"/>
    </row>
    <row r="29" spans="1:177" ht="15" thickBot="1">
      <c r="A29" s="20">
        <v>39722</v>
      </c>
      <c r="B29" s="3">
        <v>8.1394817073170724</v>
      </c>
      <c r="C29" s="3">
        <v>7.345430107526882</v>
      </c>
      <c r="D29" s="3">
        <v>5.2801075268817206</v>
      </c>
      <c r="E29" s="3">
        <v>3.551747311827957</v>
      </c>
      <c r="F29" s="3">
        <v>2.2682795698924743</v>
      </c>
      <c r="G29" s="3">
        <v>2.483198924731183</v>
      </c>
      <c r="H29" s="6">
        <f t="shared" si="0"/>
        <v>4796.7807481558893</v>
      </c>
      <c r="I29" s="6">
        <f t="shared" si="1"/>
        <v>8.2167053730342765</v>
      </c>
      <c r="J29" s="3">
        <v>4.0786585365853671</v>
      </c>
      <c r="K29" s="3">
        <v>4.1764784946236562</v>
      </c>
      <c r="L29" s="3">
        <v>2.7779569892473113</v>
      </c>
      <c r="M29" s="3">
        <v>1.3399193548387107</v>
      </c>
      <c r="N29" s="3">
        <v>1.1602150537634401</v>
      </c>
      <c r="O29" s="3">
        <v>0.91922043010752641</v>
      </c>
      <c r="P29" s="3">
        <v>78.561432926829298</v>
      </c>
      <c r="Q29" s="3">
        <v>81.713037634408579</v>
      </c>
      <c r="R29" s="3">
        <v>84.974731182795765</v>
      </c>
      <c r="S29" s="3">
        <v>86.123790322580561</v>
      </c>
      <c r="T29" s="3">
        <v>89.482526881720389</v>
      </c>
      <c r="U29" s="3">
        <v>89.769758064516068</v>
      </c>
      <c r="V29" s="3">
        <v>0.94788304637492904</v>
      </c>
      <c r="W29" s="3"/>
      <c r="X29" s="3">
        <v>181.611155913978</v>
      </c>
      <c r="Y29" s="3">
        <v>153.19999999999999</v>
      </c>
      <c r="Z29" s="3">
        <v>7.2698924731182801</v>
      </c>
      <c r="AA29" s="3">
        <v>4.6748655913978396</v>
      </c>
      <c r="AB29" s="3"/>
      <c r="AC29" s="3">
        <v>2.9821428571428572</v>
      </c>
      <c r="AD29" s="3">
        <v>3.9838709677419355</v>
      </c>
      <c r="AE29" s="3">
        <v>2.2096774193548385</v>
      </c>
      <c r="AF29" s="3">
        <v>0.93548387096774188</v>
      </c>
      <c r="AG29" s="3">
        <v>-0.63548387096774206</v>
      </c>
      <c r="AH29" s="3">
        <v>-0.11290322580645161</v>
      </c>
      <c r="AI29" s="6">
        <f t="shared" si="2"/>
        <v>4466.1031363963284</v>
      </c>
      <c r="AJ29" s="6">
        <f t="shared" si="3"/>
        <v>7.3336614538209748</v>
      </c>
      <c r="AK29" s="3">
        <v>1.7678571428571428</v>
      </c>
      <c r="AL29" s="3">
        <v>2.3193548387096774</v>
      </c>
      <c r="AM29" s="3">
        <v>0.89677419354838728</v>
      </c>
      <c r="AN29" s="3">
        <v>-0.40000000000000019</v>
      </c>
      <c r="AO29" s="3">
        <v>-1.2483870967741937</v>
      </c>
      <c r="AP29" s="3">
        <v>-1.2483870967741937</v>
      </c>
      <c r="AQ29" s="3">
        <v>47.550000000000011</v>
      </c>
      <c r="AR29" s="3">
        <v>58.738709677419358</v>
      </c>
      <c r="AS29" s="3">
        <v>62.858064516129033</v>
      </c>
      <c r="AT29" s="3">
        <v>70.022580645161298</v>
      </c>
      <c r="AU29" s="3">
        <v>73.719354838709648</v>
      </c>
      <c r="AV29" s="3">
        <v>66.151612903225796</v>
      </c>
      <c r="AW29" s="21"/>
      <c r="AX29" s="21"/>
      <c r="AY29" s="20">
        <v>39722</v>
      </c>
      <c r="AZ29" s="21">
        <v>4796.7807481558893</v>
      </c>
      <c r="BA29" s="22">
        <v>-0.35</v>
      </c>
      <c r="BB29" s="22">
        <v>-0.35</v>
      </c>
      <c r="BC29" s="30">
        <v>2.1</v>
      </c>
      <c r="BD29">
        <v>28.17</v>
      </c>
      <c r="BE29">
        <v>26.37</v>
      </c>
      <c r="BF29">
        <v>21.37</v>
      </c>
      <c r="BG29" s="9"/>
      <c r="BH29" s="9"/>
      <c r="BI29" s="9"/>
      <c r="BJ29" s="9"/>
    </row>
    <row r="30" spans="1:177" ht="15" thickBot="1">
      <c r="A30" s="20">
        <v>39753</v>
      </c>
      <c r="B30" s="3"/>
      <c r="C30" s="3">
        <v>8.1708333333333325</v>
      </c>
      <c r="D30" s="3">
        <v>6.22472222222222</v>
      </c>
      <c r="E30" s="3">
        <v>4.46875</v>
      </c>
      <c r="F30" s="3">
        <v>3.1380555555555563</v>
      </c>
      <c r="G30" s="3">
        <v>3.4236111111111112</v>
      </c>
      <c r="H30" s="6">
        <f t="shared" si="0"/>
        <v>4910.0093968889805</v>
      </c>
      <c r="I30" s="6">
        <f t="shared" si="1"/>
        <v>8.175735962403845</v>
      </c>
      <c r="K30" s="3">
        <v>4.5456944444444503</v>
      </c>
      <c r="L30" s="3">
        <v>3.1534722222222191</v>
      </c>
      <c r="M30" s="3">
        <v>1.6738888888888874</v>
      </c>
      <c r="N30" s="3">
        <v>1.4584722222222239</v>
      </c>
      <c r="O30" s="3">
        <v>1.2218055555555567</v>
      </c>
      <c r="Q30" s="3">
        <v>79.752222222222215</v>
      </c>
      <c r="R30" s="3">
        <v>82.203194444444264</v>
      </c>
      <c r="S30" s="3">
        <v>83.003194444444489</v>
      </c>
      <c r="T30" s="3">
        <v>87.108611111111088</v>
      </c>
      <c r="U30" s="3">
        <v>86.552222222222227</v>
      </c>
      <c r="V30" s="3">
        <v>0.90535007884006702</v>
      </c>
      <c r="W30" s="3"/>
      <c r="X30" s="3">
        <v>190.75</v>
      </c>
      <c r="Y30" s="3">
        <v>85.8</v>
      </c>
      <c r="Z30" s="3">
        <v>7.77986111111111</v>
      </c>
      <c r="AA30" s="3">
        <v>5.3418055555555499</v>
      </c>
      <c r="AB30" s="3"/>
      <c r="AC30" s="3"/>
      <c r="AD30" s="3">
        <v>4.5166666666666666</v>
      </c>
      <c r="AE30" s="3">
        <v>2.7966666666666669</v>
      </c>
      <c r="AF30" s="3">
        <v>1.6</v>
      </c>
      <c r="AG30" s="3">
        <v>-0.18333333333333326</v>
      </c>
      <c r="AH30" s="3">
        <v>0.2</v>
      </c>
      <c r="AI30" s="6">
        <f t="shared" si="2"/>
        <v>4537.793067510438</v>
      </c>
      <c r="AJ30" s="6">
        <f t="shared" si="3"/>
        <v>7.4186688707537281</v>
      </c>
      <c r="AK30" s="3"/>
      <c r="AL30" s="3">
        <v>2.8200000000000003</v>
      </c>
      <c r="AM30" s="3">
        <v>1.2633333333333334</v>
      </c>
      <c r="AN30" s="3">
        <v>-0.1566666666666667</v>
      </c>
      <c r="AO30" s="3">
        <v>-1.3366666666666664</v>
      </c>
      <c r="AP30" s="3">
        <v>-1.3366666666666664</v>
      </c>
      <c r="AQ30" s="3"/>
      <c r="AR30" s="3">
        <v>55.446666666666673</v>
      </c>
      <c r="AS30" s="3">
        <v>58.983333333333356</v>
      </c>
      <c r="AT30" s="3">
        <v>65.04000000000002</v>
      </c>
      <c r="AU30" s="3">
        <v>68.886666666666684</v>
      </c>
      <c r="AV30" s="3">
        <v>63.02</v>
      </c>
      <c r="AW30">
        <v>5265.4765754829996</v>
      </c>
      <c r="AX30">
        <v>2.2349221457907502</v>
      </c>
      <c r="AY30" s="20">
        <v>39753</v>
      </c>
      <c r="AZ30">
        <v>4910.0093968889805</v>
      </c>
      <c r="BA30" s="29">
        <v>-0.55000000000000004</v>
      </c>
      <c r="BB30" s="29">
        <v>-0.55000000000000004</v>
      </c>
      <c r="BC30" s="30">
        <v>2.2000000000000002</v>
      </c>
      <c r="BD30">
        <v>27.98</v>
      </c>
      <c r="BE30">
        <v>26.25</v>
      </c>
      <c r="BF30">
        <v>21.38</v>
      </c>
      <c r="BG30" s="9"/>
      <c r="BH30" s="9"/>
      <c r="BI30" s="9"/>
      <c r="BJ30" s="9"/>
    </row>
    <row r="31" spans="1:177" ht="15" thickBot="1">
      <c r="A31" s="20">
        <v>39783</v>
      </c>
      <c r="B31" s="3"/>
      <c r="C31" s="3">
        <v>7.670698924731183</v>
      </c>
      <c r="D31" s="3">
        <v>5.7256720430107526</v>
      </c>
      <c r="E31" s="3">
        <v>4.131720430107527</v>
      </c>
      <c r="F31" s="3">
        <v>2.7790322580645217</v>
      </c>
      <c r="G31" s="3">
        <v>3.4885752688172045</v>
      </c>
      <c r="H31" s="6">
        <f t="shared" si="0"/>
        <v>4880.5074148309241</v>
      </c>
      <c r="I31" s="6">
        <f t="shared" si="1"/>
        <v>7.8843486629549728</v>
      </c>
      <c r="K31" s="3">
        <v>3.1018817204301126</v>
      </c>
      <c r="L31" s="3">
        <v>1.5793010752688204</v>
      </c>
      <c r="M31" s="3">
        <v>-3.9112903225806316E-2</v>
      </c>
      <c r="N31" s="3">
        <v>-0.45981182795698949</v>
      </c>
      <c r="O31" s="3">
        <v>-0.66680107526881749</v>
      </c>
      <c r="Q31" s="3">
        <v>75.270026881720383</v>
      </c>
      <c r="R31" s="3">
        <v>77.045161290322554</v>
      </c>
      <c r="S31" s="3">
        <v>76.627553763440702</v>
      </c>
      <c r="T31" s="3">
        <v>79.581989247311782</v>
      </c>
      <c r="U31" s="3">
        <v>77.372043010752705</v>
      </c>
      <c r="V31" s="3">
        <v>1.11741943374432</v>
      </c>
      <c r="W31" s="3"/>
      <c r="X31" s="3">
        <v>212.11048387096699</v>
      </c>
      <c r="Y31" s="3">
        <v>65.2</v>
      </c>
      <c r="Z31" s="3">
        <v>7.2018817204300998</v>
      </c>
      <c r="AA31" s="3">
        <v>3.77352150537634</v>
      </c>
      <c r="AB31" s="3"/>
      <c r="AC31" s="3"/>
      <c r="AD31" s="3">
        <v>3.693548387096774</v>
      </c>
      <c r="AE31" s="3">
        <v>1.8064516129032258</v>
      </c>
      <c r="AF31" s="3">
        <v>0.82258064516129037</v>
      </c>
      <c r="AG31" s="3">
        <v>-0.78064516129032258</v>
      </c>
      <c r="AH31" s="3">
        <v>-0.12903225806451613</v>
      </c>
      <c r="AI31" s="6">
        <f t="shared" si="2"/>
        <v>4441.1109723229865</v>
      </c>
      <c r="AJ31" s="6">
        <f t="shared" si="3"/>
        <v>6.9607717246766709</v>
      </c>
      <c r="AK31" s="3"/>
      <c r="AL31" s="3">
        <v>0.67741935483870952</v>
      </c>
      <c r="AM31" s="3">
        <v>-1.2096774193548385</v>
      </c>
      <c r="AN31" s="3">
        <v>-3.1032258064516136</v>
      </c>
      <c r="AO31" s="3">
        <v>-4.4258064516129023</v>
      </c>
      <c r="AP31" s="3">
        <v>-4.445161290322579</v>
      </c>
      <c r="AQ31" s="3"/>
      <c r="AR31" s="3">
        <v>51.00645161290322</v>
      </c>
      <c r="AS31" s="3">
        <v>54.054838709677419</v>
      </c>
      <c r="AT31" s="3">
        <v>58.703225806451606</v>
      </c>
      <c r="AU31" s="3">
        <v>60.41290322580646</v>
      </c>
      <c r="AV31" s="3">
        <v>54.306451612903224</v>
      </c>
      <c r="AW31">
        <v>7764.1529277139998</v>
      </c>
      <c r="AX31">
        <v>2.6089223547426101</v>
      </c>
      <c r="AY31" s="20">
        <v>39783</v>
      </c>
      <c r="AZ31">
        <v>4880.5074148309241</v>
      </c>
      <c r="BA31" s="29">
        <v>-0.73</v>
      </c>
      <c r="BB31" s="29">
        <v>-0.73</v>
      </c>
      <c r="BC31" s="30">
        <v>2.4</v>
      </c>
      <c r="BD31">
        <v>27.73</v>
      </c>
      <c r="BE31">
        <v>25.74</v>
      </c>
      <c r="BF31">
        <v>22.36</v>
      </c>
      <c r="BG31" s="9"/>
      <c r="BH31" s="9"/>
      <c r="BI31" s="9"/>
      <c r="BJ31" s="9"/>
    </row>
    <row r="32" spans="1:177" ht="15" thickBot="1">
      <c r="A32" s="20">
        <v>39814</v>
      </c>
      <c r="B32" s="3">
        <v>6.333333333333333</v>
      </c>
      <c r="C32" s="3">
        <v>7.270833333333333</v>
      </c>
      <c r="D32" s="3">
        <v>5.2525537634408606</v>
      </c>
      <c r="E32" s="3">
        <v>3.4986559139784945</v>
      </c>
      <c r="F32" s="3">
        <v>2.2186827956989252</v>
      </c>
      <c r="G32" s="3">
        <v>2.5934139784946235</v>
      </c>
      <c r="H32" s="6">
        <f t="shared" si="0"/>
        <v>4793.0784916922885</v>
      </c>
      <c r="I32" s="6">
        <f t="shared" si="1"/>
        <v>8.1968797243297544</v>
      </c>
      <c r="J32" s="3">
        <v>4.6499999999999995</v>
      </c>
      <c r="K32" s="3">
        <v>4.7850806451612904</v>
      </c>
      <c r="L32" s="3">
        <v>3.200806451612904</v>
      </c>
      <c r="M32" s="3">
        <v>1.6419354838709685</v>
      </c>
      <c r="N32" s="3">
        <v>1.6452956989247314</v>
      </c>
      <c r="O32" s="3">
        <v>1.3284946236559134</v>
      </c>
      <c r="P32" s="3">
        <v>89.666666666666671</v>
      </c>
      <c r="Q32" s="3">
        <v>85.149865591397798</v>
      </c>
      <c r="R32" s="3">
        <v>87.283736559139811</v>
      </c>
      <c r="S32" s="3">
        <v>88.094892473118108</v>
      </c>
      <c r="T32" s="3">
        <v>91.6897849462365</v>
      </c>
      <c r="U32" s="3">
        <v>91.542607526881753</v>
      </c>
      <c r="V32" s="3">
        <v>0.87639990288256198</v>
      </c>
      <c r="W32" s="3"/>
      <c r="X32" s="3">
        <v>176.56935483870899</v>
      </c>
      <c r="Y32" s="3">
        <v>208.2</v>
      </c>
      <c r="Z32" s="3">
        <v>7.1934139784946201</v>
      </c>
      <c r="AA32" s="3">
        <v>5.4612903225806404</v>
      </c>
      <c r="AB32" s="3"/>
      <c r="AC32" s="3">
        <v>4.5</v>
      </c>
      <c r="AD32" s="3">
        <v>4.064516129032258</v>
      </c>
      <c r="AE32" s="3">
        <v>2.2870967741935484</v>
      </c>
      <c r="AF32" s="3">
        <v>1.032258064516129</v>
      </c>
      <c r="AG32" s="3">
        <v>-0.49354838709677412</v>
      </c>
      <c r="AH32" s="3">
        <v>-3.2258064516129031E-2</v>
      </c>
      <c r="AI32" s="6">
        <f t="shared" si="2"/>
        <v>4482.3666280477482</v>
      </c>
      <c r="AJ32" s="6">
        <f t="shared" si="3"/>
        <v>7.2326969818533637</v>
      </c>
      <c r="AK32" s="3">
        <v>3.5</v>
      </c>
      <c r="AL32" s="3">
        <v>2.8129032258064512</v>
      </c>
      <c r="AM32" s="3">
        <v>1.209677419354839</v>
      </c>
      <c r="AN32" s="3">
        <v>-0.18709677419354845</v>
      </c>
      <c r="AO32" s="3">
        <v>-0.89354838709677442</v>
      </c>
      <c r="AP32" s="3">
        <v>-0.89354838709677442</v>
      </c>
      <c r="AQ32" s="3">
        <v>70.099999999999994</v>
      </c>
      <c r="AR32" s="3">
        <v>65.348387096774204</v>
      </c>
      <c r="AS32" s="3">
        <v>69.825806451612905</v>
      </c>
      <c r="AT32" s="3">
        <v>74.409677419354836</v>
      </c>
      <c r="AU32" s="3">
        <v>78.59354838709676</v>
      </c>
      <c r="AV32" s="3">
        <v>71.048387096774192</v>
      </c>
      <c r="AW32">
        <v>11158.776391325</v>
      </c>
      <c r="AX32">
        <v>3.7495888411710299</v>
      </c>
      <c r="AY32" s="20">
        <v>39814</v>
      </c>
      <c r="AZ32">
        <v>4793.0784916922885</v>
      </c>
      <c r="BA32" s="29">
        <v>-0.8</v>
      </c>
      <c r="BB32" s="29">
        <v>-0.8</v>
      </c>
      <c r="BC32" s="30">
        <v>1.8</v>
      </c>
      <c r="BD32">
        <v>27.37</v>
      </c>
      <c r="BE32">
        <v>25.66</v>
      </c>
      <c r="BF32">
        <v>24.4</v>
      </c>
      <c r="BG32" s="9"/>
      <c r="BH32" s="9"/>
      <c r="BI32" s="9"/>
      <c r="BJ32" s="9"/>
    </row>
    <row r="33" spans="1:62" ht="15" thickBot="1">
      <c r="A33" s="20">
        <v>39845</v>
      </c>
      <c r="B33" s="3">
        <v>8.2291666666666661</v>
      </c>
      <c r="C33" s="3">
        <v>7.2790178571428568</v>
      </c>
      <c r="D33" s="3">
        <v>5.4372023809523808</v>
      </c>
      <c r="E33" s="3">
        <v>3.5238095238095237</v>
      </c>
      <c r="F33" s="3">
        <v>2.2950892857142873</v>
      </c>
      <c r="G33" s="3">
        <v>2.3430059523809526</v>
      </c>
      <c r="H33" s="6">
        <f t="shared" si="0"/>
        <v>4805.1553677327975</v>
      </c>
      <c r="I33" s="6">
        <f t="shared" si="1"/>
        <v>8.192763829945088</v>
      </c>
      <c r="J33" s="3">
        <v>5.6977678571428596</v>
      </c>
      <c r="K33" s="3">
        <v>5.2565476190476135</v>
      </c>
      <c r="L33" s="3">
        <v>3.8369047619047607</v>
      </c>
      <c r="M33" s="3">
        <v>2.0639880952380962</v>
      </c>
      <c r="N33" s="3">
        <v>2.070833333333332</v>
      </c>
      <c r="O33" s="3">
        <v>1.7934523809523784</v>
      </c>
      <c r="P33" s="3">
        <v>85.774851190476141</v>
      </c>
      <c r="Q33" s="3">
        <v>87.645833333333357</v>
      </c>
      <c r="R33" s="3">
        <v>89.899702380952348</v>
      </c>
      <c r="S33" s="3">
        <v>90.405952380952201</v>
      </c>
      <c r="T33" s="3">
        <v>93.493303571428413</v>
      </c>
      <c r="U33" s="3">
        <v>95.244494047618986</v>
      </c>
      <c r="V33" s="3">
        <v>0.98699767931205995</v>
      </c>
      <c r="W33" s="3"/>
      <c r="X33" s="3">
        <v>181.66800595238001</v>
      </c>
      <c r="Y33" s="3">
        <v>154</v>
      </c>
      <c r="Z33" s="3">
        <v>7.35907738095238</v>
      </c>
      <c r="AA33" s="3">
        <v>5.9702380952380896</v>
      </c>
      <c r="AB33" s="3"/>
      <c r="AC33" s="3">
        <v>4.1785714285714288</v>
      </c>
      <c r="AD33" s="3">
        <v>4.5357142857142856</v>
      </c>
      <c r="AE33" s="3">
        <v>2.875</v>
      </c>
      <c r="AF33" s="3">
        <v>1.3214285714285714</v>
      </c>
      <c r="AG33" s="3">
        <v>-0.16428571428571434</v>
      </c>
      <c r="AH33" s="3">
        <v>0.125</v>
      </c>
      <c r="AI33" s="6">
        <f t="shared" si="2"/>
        <v>4527.7395953714376</v>
      </c>
      <c r="AJ33" s="6">
        <f t="shared" si="3"/>
        <v>7.6054236285190395</v>
      </c>
      <c r="AK33" s="3">
        <v>3.3571428571428572</v>
      </c>
      <c r="AL33" s="3">
        <v>3.5107142857142852</v>
      </c>
      <c r="AM33" s="3">
        <v>1.9892857142857143</v>
      </c>
      <c r="AN33" s="3">
        <v>0.3249999999999999</v>
      </c>
      <c r="AO33" s="3">
        <v>-0.4</v>
      </c>
      <c r="AP33" s="3">
        <v>-0.4</v>
      </c>
      <c r="AQ33" s="3">
        <v>57.010714285714286</v>
      </c>
      <c r="AR33" s="3">
        <v>69.139285714285705</v>
      </c>
      <c r="AS33" s="3">
        <v>70.939285714285717</v>
      </c>
      <c r="AT33" s="3">
        <v>79.63928571428572</v>
      </c>
      <c r="AU33" s="3">
        <v>82.614285714285728</v>
      </c>
      <c r="AV33" s="3">
        <v>81.157142857142858</v>
      </c>
      <c r="AW33">
        <v>10638.330478475</v>
      </c>
      <c r="AX33">
        <v>3.95771223157552</v>
      </c>
      <c r="AY33" s="20">
        <v>39845</v>
      </c>
      <c r="AZ33">
        <v>4805.1553677327975</v>
      </c>
      <c r="BA33" s="29">
        <v>-0.85</v>
      </c>
      <c r="BB33" s="29">
        <v>-0.85</v>
      </c>
      <c r="BC33" s="30">
        <v>3.1</v>
      </c>
      <c r="BD33">
        <v>27.35</v>
      </c>
      <c r="BE33">
        <v>25.96</v>
      </c>
      <c r="BF33">
        <v>25.42</v>
      </c>
      <c r="BG33" s="9"/>
      <c r="BH33" s="9"/>
      <c r="BI33" s="9"/>
      <c r="BJ33" s="9"/>
    </row>
    <row r="34" spans="1:62" ht="15" thickBot="1">
      <c r="A34" s="20">
        <v>39873</v>
      </c>
      <c r="B34" s="3">
        <v>8.1216397849462361</v>
      </c>
      <c r="C34" s="3">
        <v>7.1965053763440752</v>
      </c>
      <c r="D34" s="3">
        <v>5.2556451612903183</v>
      </c>
      <c r="E34" s="3">
        <v>3.3809139784946232</v>
      </c>
      <c r="F34" s="3">
        <v>2.0915322580645159</v>
      </c>
      <c r="G34" s="3">
        <v>2.2525537634408606</v>
      </c>
      <c r="H34" s="6">
        <f t="shared" si="0"/>
        <v>4776.4760265516725</v>
      </c>
      <c r="I34" s="6">
        <f t="shared" si="1"/>
        <v>8.3435692215218697</v>
      </c>
      <c r="J34" s="3">
        <v>5.525537634408602</v>
      </c>
      <c r="K34" s="3">
        <v>5.025806451612902</v>
      </c>
      <c r="L34" s="3">
        <v>3.5052419354838729</v>
      </c>
      <c r="M34" s="3">
        <v>1.70188172043011</v>
      </c>
      <c r="N34" s="3">
        <v>1.7284946236559131</v>
      </c>
      <c r="O34" s="3">
        <v>1.3694892473118274</v>
      </c>
      <c r="P34" s="3">
        <v>85.308064516128994</v>
      </c>
      <c r="Q34" s="3">
        <v>86.874193548387012</v>
      </c>
      <c r="R34" s="3">
        <v>89.056586021505424</v>
      </c>
      <c r="S34" s="3">
        <v>89.159139784946262</v>
      </c>
      <c r="T34" s="3">
        <v>92.90013440860227</v>
      </c>
      <c r="U34" s="3">
        <v>93.820564516128997</v>
      </c>
      <c r="V34" s="3">
        <v>0.66864765341897903</v>
      </c>
      <c r="W34" s="3"/>
      <c r="X34" s="3">
        <v>169.777419354838</v>
      </c>
      <c r="Y34" s="3">
        <v>274.2</v>
      </c>
      <c r="Z34" s="3">
        <v>7.18629032258064</v>
      </c>
      <c r="AA34" s="3">
        <v>5.8139784946236501</v>
      </c>
      <c r="AB34" s="3"/>
      <c r="AC34" s="3">
        <v>3.7096774193548385</v>
      </c>
      <c r="AD34" s="3">
        <v>4.145161290322581</v>
      </c>
      <c r="AE34" s="3">
        <v>2.3096774193548386</v>
      </c>
      <c r="AF34" s="3">
        <v>0.95161290322580661</v>
      </c>
      <c r="AG34" s="3">
        <v>-0.6709677419354837</v>
      </c>
      <c r="AH34" s="3">
        <v>0.1064516129032258</v>
      </c>
      <c r="AI34" s="6">
        <f t="shared" si="2"/>
        <v>4464.7578261367807</v>
      </c>
      <c r="AJ34" s="6">
        <f t="shared" si="3"/>
        <v>7.6623897611697593</v>
      </c>
      <c r="AK34" s="3">
        <v>2.7774193548387101</v>
      </c>
      <c r="AL34" s="3">
        <v>2.922580645161291</v>
      </c>
      <c r="AM34" s="3">
        <v>1.2870967741935484</v>
      </c>
      <c r="AN34" s="3">
        <v>-0.25806451612903225</v>
      </c>
      <c r="AO34" s="3">
        <v>-0.89999999999999991</v>
      </c>
      <c r="AP34" s="3">
        <v>-0.89999999999999991</v>
      </c>
      <c r="AQ34" s="3">
        <v>57.096774193548384</v>
      </c>
      <c r="AR34" s="3">
        <v>70.641935483870952</v>
      </c>
      <c r="AS34" s="3">
        <v>73.112903225806434</v>
      </c>
      <c r="AT34" s="3">
        <v>78.854838709677438</v>
      </c>
      <c r="AU34" s="3">
        <v>83.564516129032242</v>
      </c>
      <c r="AV34" s="3">
        <v>82.116129032258058</v>
      </c>
      <c r="AW34">
        <v>14150.204167901</v>
      </c>
      <c r="AX34">
        <v>4.75477290588071</v>
      </c>
      <c r="AY34" s="20">
        <v>39873</v>
      </c>
      <c r="AZ34">
        <v>4776.4760265516725</v>
      </c>
      <c r="BA34" s="29">
        <v>-0.79</v>
      </c>
      <c r="BB34" s="29">
        <v>-0.79</v>
      </c>
      <c r="BC34" s="30">
        <v>0.7</v>
      </c>
      <c r="BD34">
        <v>27.74</v>
      </c>
      <c r="BE34">
        <v>26.59</v>
      </c>
      <c r="BF34">
        <v>25.67</v>
      </c>
      <c r="BG34" s="9"/>
      <c r="BH34" s="9"/>
      <c r="BI34" s="9"/>
      <c r="BJ34" s="9"/>
    </row>
    <row r="35" spans="1:62" ht="15" thickBot="1">
      <c r="A35" s="20">
        <v>39904</v>
      </c>
      <c r="B35" s="3">
        <v>9.25</v>
      </c>
      <c r="C35" s="3">
        <v>7.7583333333333284</v>
      </c>
      <c r="D35" s="3">
        <v>5.6997222222222188</v>
      </c>
      <c r="E35" s="3">
        <v>3.9530555555555567</v>
      </c>
      <c r="F35" s="3">
        <v>2.65513888888889</v>
      </c>
      <c r="G35" s="3">
        <v>2.7093055555555576</v>
      </c>
      <c r="H35" s="6">
        <f t="shared" si="0"/>
        <v>4842.1374139549416</v>
      </c>
      <c r="I35" s="6">
        <f t="shared" si="1"/>
        <v>8.2652143231879762</v>
      </c>
      <c r="J35" s="3">
        <v>5.2934722222222295</v>
      </c>
      <c r="K35" s="3">
        <v>4.8354166666666645</v>
      </c>
      <c r="L35" s="3">
        <v>3.6180555555555598</v>
      </c>
      <c r="M35" s="3">
        <v>1.9265277777777754</v>
      </c>
      <c r="N35" s="3">
        <v>1.7258333333333336</v>
      </c>
      <c r="O35" s="3">
        <v>1.4658333333333351</v>
      </c>
      <c r="P35" s="3">
        <v>78.752361111111114</v>
      </c>
      <c r="Q35" s="3">
        <v>82.788333333333327</v>
      </c>
      <c r="R35" s="3">
        <v>87.144027777777808</v>
      </c>
      <c r="S35" s="3">
        <v>87.108472222222176</v>
      </c>
      <c r="T35" s="3">
        <v>90.78055555555558</v>
      </c>
      <c r="U35" s="3">
        <v>91.617777777777746</v>
      </c>
      <c r="V35" s="3">
        <v>0.70107652863993097</v>
      </c>
      <c r="W35" s="3"/>
      <c r="X35" s="3">
        <v>201.61430555555501</v>
      </c>
      <c r="Y35" s="3">
        <v>129.4</v>
      </c>
      <c r="Z35" s="3">
        <v>8.2556944444444404</v>
      </c>
      <c r="AA35" s="3">
        <v>5.6662499999999998</v>
      </c>
      <c r="AB35" s="3"/>
      <c r="AC35" s="3">
        <v>4.5166666666666666</v>
      </c>
      <c r="AD35" s="3">
        <v>4.8533333333333335</v>
      </c>
      <c r="AE35" s="3">
        <v>3.0533333333333337</v>
      </c>
      <c r="AF35" s="3">
        <v>1.6633333333333338</v>
      </c>
      <c r="AG35" s="3">
        <v>0.60666666666666669</v>
      </c>
      <c r="AH35" s="3">
        <v>0.42333333333333328</v>
      </c>
      <c r="AI35" s="6">
        <f t="shared" si="2"/>
        <v>4609.8420085414136</v>
      </c>
      <c r="AJ35" s="6">
        <f t="shared" si="3"/>
        <v>6.8378475949800022</v>
      </c>
      <c r="AK35" s="3">
        <v>2.8833333333333329</v>
      </c>
      <c r="AL35" s="3">
        <v>3.0933333333333337</v>
      </c>
      <c r="AM35" s="3">
        <v>1.7799999999999998</v>
      </c>
      <c r="AN35" s="3">
        <v>0.26999999999999996</v>
      </c>
      <c r="AO35" s="3">
        <v>-0.77</v>
      </c>
      <c r="AP35" s="3">
        <v>-0.77333333333333343</v>
      </c>
      <c r="AQ35" s="3">
        <v>52.340000000000011</v>
      </c>
      <c r="AR35" s="3">
        <v>67.86999999999999</v>
      </c>
      <c r="AS35" s="3">
        <v>72.163333333333341</v>
      </c>
      <c r="AT35" s="3">
        <v>75.663333333333355</v>
      </c>
      <c r="AU35" s="3">
        <v>79.67</v>
      </c>
      <c r="AV35" s="3">
        <v>78.803333333333327</v>
      </c>
      <c r="AW35">
        <v>12111.404349296999</v>
      </c>
      <c r="AX35">
        <v>4.20534873239479</v>
      </c>
      <c r="AY35" s="20">
        <v>39904</v>
      </c>
      <c r="AZ35">
        <v>4842.1374139549416</v>
      </c>
      <c r="BA35" s="33">
        <v>-0.61</v>
      </c>
      <c r="BB35" s="33">
        <v>-0.61</v>
      </c>
      <c r="BC35" s="30">
        <v>1.3</v>
      </c>
      <c r="BD35">
        <v>28.37</v>
      </c>
      <c r="BE35">
        <v>27.47</v>
      </c>
      <c r="BF35">
        <v>25.94</v>
      </c>
      <c r="BG35" s="9"/>
      <c r="BH35" s="9"/>
      <c r="BI35" s="9"/>
      <c r="BJ35" s="9"/>
    </row>
    <row r="36" spans="1:62" ht="15" thickBot="1">
      <c r="A36" s="20">
        <v>39934</v>
      </c>
      <c r="B36" s="3">
        <v>8.5571236559139781</v>
      </c>
      <c r="C36" s="3">
        <v>7.883870967741915</v>
      </c>
      <c r="D36" s="3">
        <v>5.8525537634408504</v>
      </c>
      <c r="E36" s="3">
        <v>4.265322580645158</v>
      </c>
      <c r="F36" s="3">
        <v>2.848252688172046</v>
      </c>
      <c r="G36" s="3">
        <v>4.5323924731182839</v>
      </c>
      <c r="H36" s="6">
        <f t="shared" si="0"/>
        <v>4880.3449133331296</v>
      </c>
      <c r="I36" s="6">
        <f t="shared" si="1"/>
        <v>8.0864895776286012</v>
      </c>
      <c r="J36" s="3">
        <v>3.7303763440860216</v>
      </c>
      <c r="K36" s="3">
        <v>3.4026881720430051</v>
      </c>
      <c r="L36" s="3">
        <v>2.1168010752688171</v>
      </c>
      <c r="M36" s="3">
        <v>0.5934139784946233</v>
      </c>
      <c r="N36" s="3">
        <v>9.4354838709677313E-2</v>
      </c>
      <c r="O36" s="3">
        <v>-7.1236559139784897E-2</v>
      </c>
      <c r="P36" s="3">
        <v>74.963172043010715</v>
      </c>
      <c r="Q36" s="3">
        <v>75.074596774193623</v>
      </c>
      <c r="R36" s="3">
        <v>78.327419354838668</v>
      </c>
      <c r="S36" s="3">
        <v>77.954435483870782</v>
      </c>
      <c r="T36" s="3">
        <v>81.632930107526917</v>
      </c>
      <c r="U36" s="3">
        <v>73.877688172043079</v>
      </c>
      <c r="V36" s="3">
        <v>0.58578884685253796</v>
      </c>
      <c r="W36" s="3"/>
      <c r="X36" s="3">
        <v>186.30188172043</v>
      </c>
      <c r="Y36" s="3">
        <v>19.600000000000001</v>
      </c>
      <c r="Z36" s="3">
        <v>7.5770161290322502</v>
      </c>
      <c r="AA36" s="3">
        <v>4.2064516129032201</v>
      </c>
      <c r="AB36" s="3"/>
      <c r="AC36" s="3">
        <v>2.2580645161290325</v>
      </c>
      <c r="AD36" s="3">
        <v>3.9387096774193551</v>
      </c>
      <c r="AE36" s="3">
        <v>2.36774193548387</v>
      </c>
      <c r="AF36" s="3">
        <v>1.4516129032258067</v>
      </c>
      <c r="AG36" s="3">
        <v>0.21290322580645163</v>
      </c>
      <c r="AH36" s="3">
        <v>0.65806451612903216</v>
      </c>
      <c r="AI36" s="6">
        <f t="shared" si="2"/>
        <v>4579.930905280371</v>
      </c>
      <c r="AJ36" s="6">
        <f t="shared" si="3"/>
        <v>5.8457188091187655</v>
      </c>
      <c r="AK36" s="3">
        <v>1.0129032258064516</v>
      </c>
      <c r="AL36" s="3">
        <v>1.5483870967741937</v>
      </c>
      <c r="AM36" s="3">
        <v>0.22580645161290328</v>
      </c>
      <c r="AN36" s="3">
        <v>-1.1806451612903226</v>
      </c>
      <c r="AO36" s="3">
        <v>-2.4419354838709677</v>
      </c>
      <c r="AP36" s="3">
        <v>-2.4419354838709677</v>
      </c>
      <c r="AQ36" s="3">
        <v>43.054838709677412</v>
      </c>
      <c r="AR36" s="3">
        <v>51.138709677419349</v>
      </c>
      <c r="AS36" s="3">
        <v>55.312903225806458</v>
      </c>
      <c r="AT36" s="3">
        <v>61.403225806451609</v>
      </c>
      <c r="AU36" s="3">
        <v>67.019354838709674</v>
      </c>
      <c r="AV36" s="3">
        <v>48.612903225806441</v>
      </c>
      <c r="AW36">
        <v>7270.9375337399997</v>
      </c>
      <c r="AX36">
        <v>2.4431913755846799</v>
      </c>
      <c r="AY36" s="20">
        <v>39934</v>
      </c>
      <c r="AZ36">
        <v>4880.3449133331296</v>
      </c>
      <c r="BA36" s="22">
        <v>-0.33</v>
      </c>
      <c r="BB36" s="22">
        <v>-0.33</v>
      </c>
      <c r="BC36" s="30">
        <v>-0.2</v>
      </c>
      <c r="BD36">
        <v>28.9</v>
      </c>
      <c r="BE36">
        <v>27.99</v>
      </c>
      <c r="BF36">
        <v>24.76</v>
      </c>
      <c r="BG36" s="9"/>
      <c r="BH36" s="9"/>
      <c r="BI36" s="9"/>
      <c r="BJ36" s="9"/>
    </row>
    <row r="37" spans="1:62" ht="15" thickBot="1">
      <c r="A37" s="20">
        <v>39965</v>
      </c>
      <c r="B37" s="3">
        <v>8.3805555555555564</v>
      </c>
      <c r="C37" s="3">
        <v>8.1595833333333179</v>
      </c>
      <c r="D37" s="3">
        <v>5.7538888888888842</v>
      </c>
      <c r="E37" s="3">
        <v>4.3831944444444435</v>
      </c>
      <c r="F37" s="3">
        <v>2.8099999999999956</v>
      </c>
      <c r="G37" s="3">
        <v>4.5047222222222327</v>
      </c>
      <c r="H37" s="6">
        <f t="shared" si="0"/>
        <v>4853.6301112983192</v>
      </c>
      <c r="I37" s="6">
        <f t="shared" si="1"/>
        <v>8.4079561420453715</v>
      </c>
      <c r="J37" s="3">
        <v>0.97847222222222285</v>
      </c>
      <c r="K37" s="3">
        <v>0.7572222222222228</v>
      </c>
      <c r="L37" s="3">
        <v>-0.13250000000000003</v>
      </c>
      <c r="M37" s="3">
        <v>-1.3836111111111109</v>
      </c>
      <c r="N37" s="3">
        <v>-2.1676388888888893</v>
      </c>
      <c r="O37" s="3">
        <v>-2.2361111111111116</v>
      </c>
      <c r="P37" s="3">
        <v>64.324027777777644</v>
      </c>
      <c r="Q37" s="3">
        <v>62.643472222222165</v>
      </c>
      <c r="R37" s="3">
        <v>68.628611111111113</v>
      </c>
      <c r="S37" s="3">
        <v>68.611805555555478</v>
      </c>
      <c r="T37" s="3">
        <v>71.822499999999991</v>
      </c>
      <c r="U37" s="3">
        <v>65.007916666666716</v>
      </c>
      <c r="V37" s="3">
        <v>0.77650693777677604</v>
      </c>
      <c r="W37" s="3"/>
      <c r="X37" s="3">
        <v>180.98499999999899</v>
      </c>
      <c r="Y37" s="3">
        <v>5.8</v>
      </c>
      <c r="Z37" s="3">
        <v>7.5151388888888802</v>
      </c>
      <c r="AA37" s="3">
        <v>1.5401388888888801</v>
      </c>
      <c r="AB37" s="3"/>
      <c r="AC37" s="3">
        <v>1.25</v>
      </c>
      <c r="AD37" s="3">
        <v>3.8533333333333335</v>
      </c>
      <c r="AE37" s="3">
        <v>2.15</v>
      </c>
      <c r="AF37" s="3">
        <v>1.3366666666666667</v>
      </c>
      <c r="AG37" s="3">
        <v>-7.6666666666666633E-2</v>
      </c>
      <c r="AH37" s="3">
        <v>0.32</v>
      </c>
      <c r="AI37" s="6">
        <f t="shared" si="2"/>
        <v>4536.0474723597672</v>
      </c>
      <c r="AJ37" s="6">
        <f t="shared" si="3"/>
        <v>6.0841511573040465</v>
      </c>
      <c r="AK37" s="3">
        <v>-1.6899999999999997</v>
      </c>
      <c r="AL37" s="3">
        <v>-0.98666666666666669</v>
      </c>
      <c r="AM37" s="3">
        <v>-1.8933333333333333</v>
      </c>
      <c r="AN37" s="3">
        <v>-3.19</v>
      </c>
      <c r="AO37" s="3">
        <v>-4.7733333333333343</v>
      </c>
      <c r="AP37" s="3">
        <v>-4.7733333333333343</v>
      </c>
      <c r="AQ37" s="3">
        <v>33.67</v>
      </c>
      <c r="AR37" s="3">
        <v>41.593333333333341</v>
      </c>
      <c r="AS37" s="3">
        <v>46.206666666666663</v>
      </c>
      <c r="AT37" s="3">
        <v>50.606666666666676</v>
      </c>
      <c r="AU37" s="3">
        <v>54.52</v>
      </c>
      <c r="AV37" s="3">
        <v>38.919999999999995</v>
      </c>
      <c r="AW37">
        <v>5542.0246996189999</v>
      </c>
      <c r="AX37">
        <v>1.9243141318121499</v>
      </c>
      <c r="AY37" s="20">
        <v>39965</v>
      </c>
      <c r="AZ37">
        <v>4853.6301112983192</v>
      </c>
      <c r="BA37" s="22">
        <v>0.01</v>
      </c>
      <c r="BB37" s="22">
        <v>0.01</v>
      </c>
      <c r="BC37" s="30">
        <v>0.2</v>
      </c>
      <c r="BD37">
        <v>29.14</v>
      </c>
      <c r="BE37">
        <v>28.04</v>
      </c>
      <c r="BF37">
        <v>23.78</v>
      </c>
      <c r="BG37" s="9"/>
      <c r="BH37" s="9"/>
      <c r="BI37" s="9"/>
      <c r="BJ37" s="9"/>
    </row>
    <row r="38" spans="1:62" ht="15" thickBot="1">
      <c r="A38" s="20">
        <v>39995</v>
      </c>
      <c r="B38" s="3">
        <v>8.9478114478114481</v>
      </c>
      <c r="C38" s="3">
        <v>7.7439516129032269</v>
      </c>
      <c r="D38" s="3">
        <v>5.6975806451612918</v>
      </c>
      <c r="E38" s="3">
        <v>3.8974637681159439</v>
      </c>
      <c r="F38" s="3">
        <v>3.4423387096774198</v>
      </c>
      <c r="G38" s="3">
        <v>4.0778225806451607</v>
      </c>
      <c r="H38" s="6">
        <f t="shared" si="0"/>
        <v>4923.4672035258936</v>
      </c>
      <c r="I38" s="6">
        <f t="shared" si="1"/>
        <v>7.1054954125690317</v>
      </c>
      <c r="J38" s="3">
        <v>1.3626262626262629</v>
      </c>
      <c r="K38" s="3">
        <v>0.29556451612903234</v>
      </c>
      <c r="L38" s="3">
        <v>-5.6586021505376324E-2</v>
      </c>
      <c r="M38" s="3">
        <v>-1.23731884057971</v>
      </c>
      <c r="N38" s="3">
        <v>-2.1474462365591416</v>
      </c>
      <c r="O38" s="3">
        <v>-2.1708333333333343</v>
      </c>
      <c r="P38" s="3">
        <v>64.08282828282826</v>
      </c>
      <c r="Q38" s="3">
        <v>61.594623655913992</v>
      </c>
      <c r="R38" s="3">
        <v>68.320161290322517</v>
      </c>
      <c r="S38" s="3">
        <v>70.634782608695659</v>
      </c>
      <c r="T38" s="3">
        <v>69.038978494623535</v>
      </c>
      <c r="U38" s="3">
        <v>66.371102150537538</v>
      </c>
      <c r="V38" s="3"/>
      <c r="W38" s="3"/>
      <c r="X38" s="3"/>
      <c r="Y38" s="3"/>
      <c r="Z38" s="3"/>
      <c r="AA38" s="3"/>
      <c r="AB38" s="3"/>
      <c r="AC38" s="3">
        <v>2.0769230769230771</v>
      </c>
      <c r="AD38" s="3">
        <v>3.3548387096774195</v>
      </c>
      <c r="AE38" s="3">
        <v>2.0516129032258061</v>
      </c>
      <c r="AF38" s="3">
        <v>1.1083333333333334</v>
      </c>
      <c r="AG38" s="3">
        <v>-9.9999999999999992E-2</v>
      </c>
      <c r="AH38" s="3">
        <v>4.8387096774193547E-2</v>
      </c>
      <c r="AI38" s="6">
        <f t="shared" si="2"/>
        <v>4536.5058997236938</v>
      </c>
      <c r="AJ38" s="6">
        <f t="shared" si="3"/>
        <v>5.4820932227898282</v>
      </c>
      <c r="AK38" s="3">
        <v>-0.89230769230769247</v>
      </c>
      <c r="AL38" s="3">
        <v>-1.6967741935483869</v>
      </c>
      <c r="AM38" s="3">
        <v>-2.2000000000000002</v>
      </c>
      <c r="AN38" s="3">
        <v>-3.0500000000000003</v>
      </c>
      <c r="AO38" s="3">
        <v>-5.2290322580645165</v>
      </c>
      <c r="AP38" s="3">
        <v>-5.2290322580645165</v>
      </c>
      <c r="AQ38" s="3">
        <v>33.299999999999997</v>
      </c>
      <c r="AR38" s="3">
        <v>40.312903225806458</v>
      </c>
      <c r="AS38" s="3">
        <v>48.041935483870965</v>
      </c>
      <c r="AT38" s="3">
        <v>50.775000000000006</v>
      </c>
      <c r="AU38" s="3">
        <v>47.006451612903234</v>
      </c>
      <c r="AV38" s="3">
        <v>40.690322580645173</v>
      </c>
      <c r="AW38">
        <v>4528.7810033579999</v>
      </c>
      <c r="AX38">
        <v>1.52176781026815</v>
      </c>
      <c r="AY38" s="20">
        <v>39995</v>
      </c>
      <c r="AZ38">
        <v>4923.4672035258936</v>
      </c>
      <c r="BA38" s="34">
        <v>0.28000000000000003</v>
      </c>
      <c r="BB38" s="34">
        <v>0.28000000000000003</v>
      </c>
      <c r="BC38" s="30">
        <v>0.4</v>
      </c>
      <c r="BD38">
        <v>29.19</v>
      </c>
      <c r="BE38">
        <v>27.78</v>
      </c>
      <c r="BF38">
        <v>22.71</v>
      </c>
      <c r="BG38" s="9"/>
      <c r="BH38" s="9"/>
      <c r="BI38" s="9"/>
      <c r="BJ38" s="9"/>
    </row>
    <row r="39" spans="1:62" ht="15" thickBot="1">
      <c r="A39" s="20">
        <v>40026</v>
      </c>
      <c r="B39" s="3"/>
      <c r="C39" s="3">
        <v>8.32258064516129</v>
      </c>
      <c r="D39" s="3">
        <v>6.73991935483871</v>
      </c>
      <c r="F39" s="3">
        <v>4.737903225806452</v>
      </c>
      <c r="G39" s="3">
        <v>4.737903225806452</v>
      </c>
      <c r="H39" s="6">
        <f t="shared" si="0"/>
        <v>5340.5741916021598</v>
      </c>
      <c r="I39" s="6">
        <f t="shared" si="1"/>
        <v>5.6506566512274299</v>
      </c>
      <c r="K39" s="3">
        <v>0.83158602150537642</v>
      </c>
      <c r="L39" s="3">
        <v>0.91384408602150657</v>
      </c>
      <c r="N39" s="3">
        <v>-1.490188172043011</v>
      </c>
      <c r="O39" s="3">
        <v>-1.490188172043011</v>
      </c>
      <c r="Q39" s="3">
        <v>62.028494623655831</v>
      </c>
      <c r="R39" s="3">
        <v>68.657258064516085</v>
      </c>
      <c r="T39" s="3">
        <v>67.037365591397815</v>
      </c>
      <c r="U39" s="3">
        <v>67.037365591397815</v>
      </c>
      <c r="V39" s="3"/>
      <c r="W39" s="3"/>
      <c r="X39" s="3"/>
      <c r="Y39" s="3"/>
      <c r="Z39" s="3"/>
      <c r="AA39" s="3"/>
      <c r="AB39" s="3"/>
      <c r="AC39" s="3"/>
      <c r="AD39" s="3">
        <v>3.4516129032258065</v>
      </c>
      <c r="AE39" s="3">
        <v>2.435483870967742</v>
      </c>
      <c r="AF39" s="3"/>
      <c r="AG39" s="3">
        <v>0.62903225806451613</v>
      </c>
      <c r="AH39" s="3">
        <v>0.62903225806451613</v>
      </c>
      <c r="AI39" s="6">
        <f t="shared" si="2"/>
        <v>4685.0065340065339</v>
      </c>
      <c r="AJ39" s="6">
        <f t="shared" si="3"/>
        <v>4.5557732803671316</v>
      </c>
      <c r="AK39" s="3"/>
      <c r="AL39" s="3">
        <v>-1.2032258064516126</v>
      </c>
      <c r="AM39" s="3">
        <v>-1.2419354838709675</v>
      </c>
      <c r="AN39" s="3"/>
      <c r="AO39" s="3">
        <v>-4.6161290322580655</v>
      </c>
      <c r="AP39" s="3">
        <v>-4.6161290322580655</v>
      </c>
      <c r="AQ39" s="3"/>
      <c r="AR39" s="3">
        <v>36.809677419354834</v>
      </c>
      <c r="AS39" s="3">
        <v>45.516129032258071</v>
      </c>
      <c r="AT39" s="3"/>
      <c r="AU39" s="3">
        <v>39.345161290322579</v>
      </c>
      <c r="AV39" s="3">
        <v>39.345161290322579</v>
      </c>
      <c r="AW39">
        <v>5061.0901824060002</v>
      </c>
      <c r="AX39">
        <v>1.7006351419375001</v>
      </c>
      <c r="AY39" s="20">
        <v>40026</v>
      </c>
      <c r="AZ39">
        <v>5340.5741916021598</v>
      </c>
      <c r="BA39" s="34">
        <v>0.45</v>
      </c>
      <c r="BB39" s="34">
        <v>0.45</v>
      </c>
      <c r="BC39" s="30">
        <v>-0.3</v>
      </c>
      <c r="BD39">
        <v>29.23</v>
      </c>
      <c r="BE39">
        <v>27.42</v>
      </c>
      <c r="BF39">
        <v>21.85</v>
      </c>
      <c r="BG39" s="9"/>
      <c r="BH39" s="9"/>
      <c r="BI39" s="9"/>
      <c r="BJ39" s="9"/>
    </row>
    <row r="40" spans="1:62" ht="15" thickBot="1">
      <c r="A40" s="20">
        <v>40057</v>
      </c>
      <c r="B40" s="3"/>
      <c r="C40" s="3">
        <v>9.4347222222222218</v>
      </c>
      <c r="D40" s="3">
        <v>7.6548611111111109</v>
      </c>
      <c r="F40" s="3">
        <v>5.3805555555555555</v>
      </c>
      <c r="G40" s="3">
        <v>5.3805555555555555</v>
      </c>
      <c r="H40" s="6">
        <f t="shared" si="0"/>
        <v>5344.8058726580248</v>
      </c>
      <c r="I40" s="6">
        <f t="shared" si="1"/>
        <v>6.3953944670362519</v>
      </c>
      <c r="K40" s="3">
        <v>0.65305555555555506</v>
      </c>
      <c r="L40" s="3">
        <v>0.94305555555555554</v>
      </c>
      <c r="N40" s="3">
        <v>-1.3995833333333325</v>
      </c>
      <c r="O40" s="3">
        <v>-1.3995833333333325</v>
      </c>
      <c r="Q40" s="3">
        <v>57.931944444444433</v>
      </c>
      <c r="R40" s="3">
        <v>65.612916666666592</v>
      </c>
      <c r="T40" s="3">
        <v>65.567916666666605</v>
      </c>
      <c r="U40" s="3">
        <v>65.567916666666605</v>
      </c>
      <c r="V40" s="3"/>
      <c r="W40" s="3"/>
      <c r="X40" s="3"/>
      <c r="Y40" s="3"/>
      <c r="Z40" s="3"/>
      <c r="AA40" s="3"/>
      <c r="AB40" s="3"/>
      <c r="AC40" s="3"/>
      <c r="AD40" s="3">
        <v>4.5333333333333332</v>
      </c>
      <c r="AE40" s="3">
        <v>3.3166666666666669</v>
      </c>
      <c r="AF40" s="3"/>
      <c r="AG40" s="3">
        <v>1.3833333333333333</v>
      </c>
      <c r="AH40" s="3">
        <v>1.3833333333333333</v>
      </c>
      <c r="AI40" s="6">
        <f t="shared" si="2"/>
        <v>4813.1759072395698</v>
      </c>
      <c r="AJ40" s="6">
        <f t="shared" si="3"/>
        <v>5.0459973800329374</v>
      </c>
      <c r="AK40" s="3"/>
      <c r="AL40" s="3">
        <v>-1.8366666666666667</v>
      </c>
      <c r="AM40" s="3">
        <v>-1.66</v>
      </c>
      <c r="AN40" s="3"/>
      <c r="AO40" s="3">
        <v>-4.45</v>
      </c>
      <c r="AP40" s="3">
        <v>-4.45</v>
      </c>
      <c r="AQ40" s="3"/>
      <c r="AR40" s="3">
        <v>35.293333333333322</v>
      </c>
      <c r="AS40" s="3">
        <v>44.42</v>
      </c>
      <c r="AT40" s="3"/>
      <c r="AU40" s="3">
        <v>42.696666666666673</v>
      </c>
      <c r="AV40" s="3">
        <v>42.696666666666673</v>
      </c>
      <c r="AW40">
        <v>5118.8073313240002</v>
      </c>
      <c r="AX40">
        <v>1.77736365670972</v>
      </c>
      <c r="AY40" s="20">
        <v>40057</v>
      </c>
      <c r="AZ40">
        <v>5344.8058726580248</v>
      </c>
      <c r="BA40" s="26">
        <v>0.57999999999999996</v>
      </c>
      <c r="BB40" s="26">
        <v>0.57999999999999996</v>
      </c>
      <c r="BC40" s="30">
        <v>0.5</v>
      </c>
      <c r="BD40">
        <v>29.33</v>
      </c>
      <c r="BE40">
        <v>27.4</v>
      </c>
      <c r="BF40">
        <v>21.23</v>
      </c>
      <c r="BG40" s="9"/>
      <c r="BH40" s="9"/>
      <c r="BI40" s="9"/>
      <c r="BJ40" s="9"/>
    </row>
    <row r="41" spans="1:62" ht="15" thickBot="1">
      <c r="A41" s="20">
        <v>40087</v>
      </c>
      <c r="B41" s="3">
        <v>9.5751879699248121</v>
      </c>
      <c r="C41" s="3">
        <v>8.0774193548386979</v>
      </c>
      <c r="D41" s="3">
        <v>6.6801075268817245</v>
      </c>
      <c r="F41" s="3">
        <v>4.74260752688172</v>
      </c>
      <c r="G41" s="3">
        <v>4.74260752688172</v>
      </c>
      <c r="H41" s="6">
        <f t="shared" si="0"/>
        <v>5409.6176984674685</v>
      </c>
      <c r="I41" s="6">
        <f t="shared" si="1"/>
        <v>5.2914979072975319</v>
      </c>
      <c r="J41" s="3">
        <v>6.3172932330827036</v>
      </c>
      <c r="K41" s="3">
        <v>3.8559139784946237</v>
      </c>
      <c r="L41" s="3">
        <v>3.2615591397849504</v>
      </c>
      <c r="N41" s="3">
        <v>1.3630376344086019</v>
      </c>
      <c r="O41" s="3">
        <v>1.3630376344086019</v>
      </c>
      <c r="P41" s="3">
        <v>82.238345864661653</v>
      </c>
      <c r="Q41" s="3">
        <v>76.937903225806295</v>
      </c>
      <c r="R41" s="3">
        <v>80.539650537634316</v>
      </c>
      <c r="T41" s="3">
        <v>80.255913978494547</v>
      </c>
      <c r="U41" s="3">
        <v>80.255913978494547</v>
      </c>
      <c r="V41" s="3"/>
      <c r="W41" s="3"/>
      <c r="X41" s="3"/>
      <c r="Y41" s="3"/>
      <c r="Z41" s="3"/>
      <c r="AA41" s="3"/>
      <c r="AB41" s="3"/>
      <c r="AC41" s="3">
        <v>5.25</v>
      </c>
      <c r="AD41" s="3">
        <v>4.0193548387096776</v>
      </c>
      <c r="AE41" s="3">
        <v>2.7419354838709675</v>
      </c>
      <c r="AF41" s="3"/>
      <c r="AG41" s="3">
        <v>1.064516129032258</v>
      </c>
      <c r="AH41" s="3">
        <v>1.064516129032258</v>
      </c>
      <c r="AI41" s="6">
        <f t="shared" si="2"/>
        <v>4753.9291021202389</v>
      </c>
      <c r="AJ41" s="6">
        <f t="shared" si="3"/>
        <v>4.6703862841519159</v>
      </c>
      <c r="AK41" s="3">
        <v>4.2666666666666666</v>
      </c>
      <c r="AL41" s="3">
        <v>1.9999999999999996</v>
      </c>
      <c r="AM41" s="3">
        <v>1.0096774193548388</v>
      </c>
      <c r="AN41" s="3"/>
      <c r="AO41" s="3">
        <v>-0.79999999999999982</v>
      </c>
      <c r="AP41" s="3">
        <v>-0.79999999999999982</v>
      </c>
      <c r="AQ41" s="3">
        <v>52.016666666666659</v>
      </c>
      <c r="AR41" s="3">
        <v>51.461290322580645</v>
      </c>
      <c r="AS41" s="3">
        <v>57.412903225806453</v>
      </c>
      <c r="AT41" s="3"/>
      <c r="AU41" s="3">
        <v>57.529032258064518</v>
      </c>
      <c r="AV41" s="3">
        <v>57.529032258064518</v>
      </c>
      <c r="AW41">
        <v>6360.6474929169999</v>
      </c>
      <c r="AX41">
        <v>2.1373143457382402</v>
      </c>
      <c r="AY41" s="20">
        <v>40087</v>
      </c>
      <c r="AZ41">
        <v>5409.6176984674685</v>
      </c>
      <c r="BA41" s="26">
        <v>0.71</v>
      </c>
      <c r="BB41" s="26">
        <v>0.71</v>
      </c>
      <c r="BC41" s="30">
        <v>-2</v>
      </c>
      <c r="BD41">
        <v>29.68</v>
      </c>
      <c r="BE41">
        <v>27.6</v>
      </c>
      <c r="BF41">
        <v>21.34</v>
      </c>
      <c r="BG41" s="9"/>
      <c r="BH41" s="9"/>
      <c r="BI41" s="9"/>
      <c r="BJ41" s="9"/>
    </row>
    <row r="42" spans="1:62" ht="15" thickBot="1">
      <c r="A42" s="20">
        <v>40118</v>
      </c>
      <c r="B42" s="3">
        <v>8.5784722222222225</v>
      </c>
      <c r="C42" s="3">
        <v>7.8702777777777557</v>
      </c>
      <c r="D42" s="3">
        <v>6.989027777777773</v>
      </c>
      <c r="F42" s="3">
        <v>5.166666666666667</v>
      </c>
      <c r="G42" s="3">
        <v>5.166666666666667</v>
      </c>
      <c r="H42" s="6">
        <f t="shared" si="0"/>
        <v>5722.7353947896845</v>
      </c>
      <c r="I42" s="6">
        <f t="shared" si="1"/>
        <v>4.4063378372789961</v>
      </c>
      <c r="J42" s="3">
        <v>4.2912499999999918</v>
      </c>
      <c r="K42" s="3">
        <v>3.4645833333333296</v>
      </c>
      <c r="L42" s="3">
        <v>3.1049999999999978</v>
      </c>
      <c r="N42" s="3">
        <v>0.30347222222222059</v>
      </c>
      <c r="O42" s="3">
        <v>0.30347222222222059</v>
      </c>
      <c r="P42" s="3">
        <v>78.831388888888739</v>
      </c>
      <c r="Q42" s="3">
        <v>77.134027777777845</v>
      </c>
      <c r="R42" s="3">
        <v>79.526388888888746</v>
      </c>
      <c r="T42" s="3">
        <v>75.67041666666681</v>
      </c>
      <c r="U42" s="3">
        <v>75.67041666666681</v>
      </c>
      <c r="V42" s="3"/>
      <c r="W42" s="3"/>
      <c r="X42" s="3"/>
      <c r="Y42" s="3"/>
      <c r="Z42" s="3"/>
      <c r="AA42" s="3"/>
      <c r="AB42" s="3"/>
      <c r="AC42" s="3">
        <v>3.4333333333333331</v>
      </c>
      <c r="AD42" s="3">
        <v>4.3066666666666675</v>
      </c>
      <c r="AE42" s="3">
        <v>3.1166666666666671</v>
      </c>
      <c r="AF42" s="3"/>
      <c r="AG42" s="3">
        <v>1.5333333333333334</v>
      </c>
      <c r="AH42" s="3">
        <v>1.5333333333333334</v>
      </c>
      <c r="AI42" s="6">
        <f t="shared" si="2"/>
        <v>4872.9918004243764</v>
      </c>
      <c r="AJ42" s="6">
        <f t="shared" si="3"/>
        <v>4.387642450750425</v>
      </c>
      <c r="AK42" s="3">
        <v>1.6933333333333336</v>
      </c>
      <c r="AL42" s="3">
        <v>1.37</v>
      </c>
      <c r="AM42" s="3">
        <v>0.33333333333333276</v>
      </c>
      <c r="AN42" s="3"/>
      <c r="AO42" s="3">
        <v>-3.1233333333333331</v>
      </c>
      <c r="AP42" s="3">
        <v>-3.1233333333333331</v>
      </c>
      <c r="AQ42" s="3">
        <v>50.07</v>
      </c>
      <c r="AR42" s="3">
        <v>59.236666666666672</v>
      </c>
      <c r="AS42" s="3">
        <v>63.833333333333336</v>
      </c>
      <c r="AT42" s="3"/>
      <c r="AU42" s="3">
        <v>59.756666666666668</v>
      </c>
      <c r="AV42" s="3">
        <v>59.756666666666668</v>
      </c>
      <c r="AW42">
        <v>7522.64770021</v>
      </c>
      <c r="AX42">
        <v>2.61203045146181</v>
      </c>
      <c r="AY42" s="20">
        <v>40118</v>
      </c>
      <c r="AZ42">
        <v>5722.7353947896845</v>
      </c>
      <c r="BA42" s="26">
        <v>1.01</v>
      </c>
      <c r="BB42" s="26">
        <v>1.01</v>
      </c>
      <c r="BC42" s="30">
        <v>-1</v>
      </c>
      <c r="BD42">
        <v>29.82</v>
      </c>
      <c r="BE42">
        <v>28.16</v>
      </c>
      <c r="BF42">
        <v>21.99</v>
      </c>
      <c r="BG42" s="9"/>
      <c r="BH42" s="9"/>
      <c r="BI42" s="9"/>
      <c r="BJ42" s="9"/>
    </row>
    <row r="43" spans="1:62" ht="15" thickBot="1">
      <c r="A43" s="20">
        <v>40148</v>
      </c>
      <c r="B43" s="3">
        <v>8.487903225806452</v>
      </c>
      <c r="C43" s="3">
        <v>7.5698924731182586</v>
      </c>
      <c r="D43" s="3">
        <v>6.5584677419354849</v>
      </c>
      <c r="E43" s="3">
        <v>4.8424242424242427</v>
      </c>
      <c r="F43" s="3">
        <v>4.6720430107526854</v>
      </c>
      <c r="G43" s="3">
        <v>4.7225806451612895</v>
      </c>
      <c r="H43" s="6">
        <f t="shared" si="0"/>
        <v>5327.9849412530857</v>
      </c>
      <c r="I43" s="6">
        <f t="shared" si="1"/>
        <v>5.0757114204642315</v>
      </c>
      <c r="J43" s="3">
        <v>6.1768817204301154</v>
      </c>
      <c r="K43" s="3">
        <v>5.5641129032257997</v>
      </c>
      <c r="L43" s="3">
        <v>5.0524193548387162</v>
      </c>
      <c r="M43" s="3">
        <v>2.6999999999999997</v>
      </c>
      <c r="N43" s="3">
        <v>2.8374999999999937</v>
      </c>
      <c r="O43" s="3">
        <v>2.8364247311827904</v>
      </c>
      <c r="P43" s="3">
        <v>86.91357526881707</v>
      </c>
      <c r="Q43" s="3">
        <v>87.819354838709543</v>
      </c>
      <c r="R43" s="3">
        <v>90.577822580645119</v>
      </c>
      <c r="S43" s="3">
        <v>86.766666666666666</v>
      </c>
      <c r="T43" s="3">
        <v>88.339247311827833</v>
      </c>
      <c r="U43" s="3">
        <v>88.080107526881605</v>
      </c>
      <c r="V43" s="3"/>
      <c r="W43" s="3"/>
      <c r="X43" s="3"/>
      <c r="Y43" s="3"/>
      <c r="Z43" s="3"/>
      <c r="AA43" s="3"/>
      <c r="AB43" s="3"/>
      <c r="AC43" s="3">
        <v>4.258064516129032</v>
      </c>
      <c r="AD43" s="3">
        <v>4.6709677419354838</v>
      </c>
      <c r="AE43" s="3">
        <v>3.4387096774193555</v>
      </c>
      <c r="AF43" s="3">
        <v>2.2000000000000002</v>
      </c>
      <c r="AG43" s="3">
        <v>1.6451612903225807</v>
      </c>
      <c r="AH43" s="3">
        <v>1.6451612903225807</v>
      </c>
      <c r="AI43" s="6">
        <f t="shared" si="2"/>
        <v>4824.5269528755898</v>
      </c>
      <c r="AJ43" s="6">
        <f t="shared" si="3"/>
        <v>5.002805675340305</v>
      </c>
      <c r="AK43" s="3">
        <v>3.6322580645161282</v>
      </c>
      <c r="AL43" s="3">
        <v>3.7483870967741928</v>
      </c>
      <c r="AM43" s="3">
        <v>2.7354838709677414</v>
      </c>
      <c r="AN43" s="3">
        <v>1.3</v>
      </c>
      <c r="AO43" s="3">
        <v>0.46451612903225808</v>
      </c>
      <c r="AP43" s="3">
        <v>0.46451612903225808</v>
      </c>
      <c r="AQ43" s="3">
        <v>59.98064516129034</v>
      </c>
      <c r="AR43" s="3">
        <v>69.674193548387095</v>
      </c>
      <c r="AS43" s="3">
        <v>75.558064516129036</v>
      </c>
      <c r="AT43" s="3">
        <v>75.900000000000006</v>
      </c>
      <c r="AU43" s="3">
        <v>72.277419354838713</v>
      </c>
      <c r="AV43" s="3">
        <v>71.958064516129028</v>
      </c>
      <c r="AW43">
        <v>10364.925652655</v>
      </c>
      <c r="AX43">
        <v>3.9865098664057701</v>
      </c>
      <c r="AY43" s="20">
        <v>40148</v>
      </c>
      <c r="AZ43">
        <v>5327.9849412530857</v>
      </c>
      <c r="BA43" s="26">
        <v>1.36</v>
      </c>
      <c r="BB43" s="26">
        <v>1.36</v>
      </c>
      <c r="BC43" s="30">
        <v>-1.2</v>
      </c>
      <c r="BD43">
        <v>29.72</v>
      </c>
      <c r="BE43">
        <v>28.34</v>
      </c>
      <c r="BF43">
        <v>23.41</v>
      </c>
      <c r="BG43" s="9"/>
      <c r="BH43" s="9"/>
      <c r="BI43" s="9"/>
      <c r="BJ43" s="9"/>
    </row>
    <row r="44" spans="1:62" ht="15" thickBot="1">
      <c r="A44" s="20">
        <v>40179</v>
      </c>
      <c r="B44" s="3">
        <v>9.699596774193548</v>
      </c>
      <c r="C44" s="3">
        <v>8.7991935483870964</v>
      </c>
      <c r="D44" s="3">
        <v>7.2298387096774182</v>
      </c>
      <c r="E44" s="3">
        <v>5.573790322580642</v>
      </c>
      <c r="F44" s="3">
        <v>4.3057795698924606</v>
      </c>
      <c r="G44" s="3">
        <v>5.7963709677419271</v>
      </c>
      <c r="H44" s="6">
        <f t="shared" si="0"/>
        <v>5121.4368727210613</v>
      </c>
      <c r="I44" s="6">
        <f t="shared" si="1"/>
        <v>7.3595825381876976</v>
      </c>
      <c r="J44" s="3">
        <v>6.2743279569892554</v>
      </c>
      <c r="K44" s="3">
        <v>5.6641129032258126</v>
      </c>
      <c r="L44" s="3">
        <v>4.7303763440860207</v>
      </c>
      <c r="M44" s="3">
        <v>3.2348118279569915</v>
      </c>
      <c r="N44" s="3">
        <v>3.2931451612903206</v>
      </c>
      <c r="O44" s="3">
        <v>3.0322580645161286</v>
      </c>
      <c r="P44" s="3">
        <v>82.087768817204292</v>
      </c>
      <c r="Q44" s="3">
        <v>82.388440860214999</v>
      </c>
      <c r="R44" s="3">
        <v>85.261693548387143</v>
      </c>
      <c r="S44" s="3">
        <v>85.590188172043085</v>
      </c>
      <c r="T44" s="3">
        <v>90.875134408602136</v>
      </c>
      <c r="U44" s="3">
        <v>83.594086021505404</v>
      </c>
      <c r="V44" s="3">
        <v>0.64846411354470002</v>
      </c>
      <c r="W44" s="3"/>
      <c r="X44" s="3">
        <v>206.73198924731099</v>
      </c>
      <c r="Y44" s="3">
        <v>68.8</v>
      </c>
      <c r="Z44" s="3">
        <v>8.7678763440860195</v>
      </c>
      <c r="AA44" s="3">
        <v>6.1514784946236496</v>
      </c>
      <c r="AB44" s="3"/>
      <c r="AC44" s="3">
        <v>4.629032258064516</v>
      </c>
      <c r="AD44" s="3">
        <v>5.096774193548387</v>
      </c>
      <c r="AE44" s="3">
        <v>4.0483870967741939</v>
      </c>
      <c r="AF44" s="3">
        <v>3.0193548387096771</v>
      </c>
      <c r="AG44" s="3">
        <v>2.0064516129032257</v>
      </c>
      <c r="AH44" s="3">
        <v>2.3451612903225811</v>
      </c>
      <c r="AI44" s="6">
        <f t="shared" si="2"/>
        <v>4952.1438025550578</v>
      </c>
      <c r="AJ44" s="6">
        <f t="shared" si="3"/>
        <v>5.0084446077555551</v>
      </c>
      <c r="AK44" s="3">
        <v>3.7903225806451615</v>
      </c>
      <c r="AL44" s="3">
        <v>3.7774193548387096</v>
      </c>
      <c r="AM44" s="3">
        <v>2.858064516129033</v>
      </c>
      <c r="AN44" s="3">
        <v>1.6193548387096772</v>
      </c>
      <c r="AO44" s="3">
        <v>0.77419354838709686</v>
      </c>
      <c r="AP44" s="3">
        <v>0.77419354838709686</v>
      </c>
      <c r="AQ44" s="3">
        <v>51.845161290322565</v>
      </c>
      <c r="AR44" s="3">
        <v>60.054838709677419</v>
      </c>
      <c r="AS44" s="3">
        <v>65.938709677419368</v>
      </c>
      <c r="AT44" s="3">
        <v>72.4258064516129</v>
      </c>
      <c r="AU44" s="3">
        <v>77.90322580645163</v>
      </c>
      <c r="AV44" s="3">
        <v>65.209677419354833</v>
      </c>
      <c r="AW44" s="21"/>
      <c r="AX44" s="21"/>
      <c r="AY44" s="20">
        <v>40179</v>
      </c>
      <c r="AZ44" s="21">
        <v>5121.4368727210613</v>
      </c>
      <c r="BA44" s="26">
        <v>1.5</v>
      </c>
      <c r="BB44" s="26">
        <v>1.5</v>
      </c>
      <c r="BC44" s="30">
        <v>-1.8</v>
      </c>
      <c r="BD44">
        <v>29.44</v>
      </c>
      <c r="BE44">
        <v>28.07</v>
      </c>
      <c r="BF44">
        <v>24.85</v>
      </c>
      <c r="BG44" s="9"/>
      <c r="BH44" s="9"/>
      <c r="BI44" s="9"/>
      <c r="BJ44" s="9"/>
    </row>
    <row r="45" spans="1:62" ht="15" thickBot="1">
      <c r="A45" s="20">
        <v>40210</v>
      </c>
      <c r="B45" s="3">
        <v>10.120535714285714</v>
      </c>
      <c r="C45" s="3">
        <v>8.9433035714285705</v>
      </c>
      <c r="D45" s="3">
        <v>7.4428571428571342</v>
      </c>
      <c r="E45" s="3">
        <v>5.7886904761904692</v>
      </c>
      <c r="F45" s="3">
        <v>4.6550595238095056</v>
      </c>
      <c r="G45" s="3">
        <v>5.8953869047619021</v>
      </c>
      <c r="H45" s="6">
        <f t="shared" si="0"/>
        <v>5188.9071502349834</v>
      </c>
      <c r="I45" s="6">
        <f t="shared" si="1"/>
        <v>7.0607714972003546</v>
      </c>
      <c r="J45" s="3">
        <v>6.4241071428571432</v>
      </c>
      <c r="K45" s="3">
        <v>5.6464285714285758</v>
      </c>
      <c r="L45" s="3">
        <v>4.7187499999999991</v>
      </c>
      <c r="M45" s="3">
        <v>3.1101190476190501</v>
      </c>
      <c r="N45" s="3">
        <v>3.1247023809523813</v>
      </c>
      <c r="O45" s="3">
        <v>2.8526785714285707</v>
      </c>
      <c r="P45" s="3">
        <v>80.444196428571402</v>
      </c>
      <c r="Q45" s="3">
        <v>81.230357142857201</v>
      </c>
      <c r="R45" s="3">
        <v>84.04300595238098</v>
      </c>
      <c r="S45" s="3">
        <v>83.764880952380921</v>
      </c>
      <c r="T45" s="3">
        <v>88.331696428571391</v>
      </c>
      <c r="U45" s="3">
        <v>82.131398809523787</v>
      </c>
      <c r="V45" s="3">
        <v>1.0409144034023301</v>
      </c>
      <c r="W45" s="3"/>
      <c r="X45" s="3">
        <v>211.206547619047</v>
      </c>
      <c r="Y45" s="3">
        <v>156.6</v>
      </c>
      <c r="Z45" s="3">
        <v>9.2888392857142801</v>
      </c>
      <c r="AA45" s="3">
        <v>6.3175595238095203</v>
      </c>
      <c r="AB45" s="3"/>
      <c r="AC45" s="3">
        <v>5.4107142857142856</v>
      </c>
      <c r="AD45" s="3">
        <v>5.6428571428571432</v>
      </c>
      <c r="AE45" s="3">
        <v>4.2928571428571427</v>
      </c>
      <c r="AF45" s="3">
        <v>3.2071428571428577</v>
      </c>
      <c r="AG45" s="3">
        <v>2.0678571428571431</v>
      </c>
      <c r="AH45" s="3">
        <v>2.532142857142857</v>
      </c>
      <c r="AI45" s="6">
        <f t="shared" si="2"/>
        <v>4903.9666024271146</v>
      </c>
      <c r="AJ45" s="6">
        <f t="shared" si="3"/>
        <v>5.7283530556599827</v>
      </c>
      <c r="AK45" s="3">
        <v>3.9642857142857131</v>
      </c>
      <c r="AL45" s="3">
        <v>3.6607142857142856</v>
      </c>
      <c r="AM45" s="3">
        <v>2.7892857142857141</v>
      </c>
      <c r="AN45" s="3">
        <v>1.4285714285714288</v>
      </c>
      <c r="AO45" s="3">
        <v>0.58214285714285696</v>
      </c>
      <c r="AP45" s="3">
        <v>0.58214285714285696</v>
      </c>
      <c r="AQ45" s="3">
        <v>53.614285714285721</v>
      </c>
      <c r="AR45" s="3">
        <v>60.642857142857153</v>
      </c>
      <c r="AS45" s="3">
        <v>64.439285714285731</v>
      </c>
      <c r="AT45" s="3">
        <v>68.88928571428572</v>
      </c>
      <c r="AU45" s="3">
        <v>74.575000000000003</v>
      </c>
      <c r="AV45" s="3">
        <v>64.671428571428564</v>
      </c>
      <c r="AW45" s="21"/>
      <c r="AX45" s="21"/>
      <c r="AY45" s="20">
        <v>40210</v>
      </c>
      <c r="AZ45" s="21">
        <v>5188.9071502349834</v>
      </c>
      <c r="BA45" s="26">
        <v>1.22</v>
      </c>
      <c r="BB45" s="26">
        <v>1.22</v>
      </c>
      <c r="BC45" s="30">
        <v>-2.4</v>
      </c>
      <c r="BD45">
        <v>29.08</v>
      </c>
      <c r="BE45">
        <v>28.01</v>
      </c>
      <c r="BF45">
        <v>26.22</v>
      </c>
      <c r="BG45" s="9"/>
      <c r="BH45" s="9"/>
      <c r="BI45" s="9"/>
      <c r="BJ45" s="9"/>
    </row>
    <row r="46" spans="1:62" ht="15" thickBot="1">
      <c r="A46" s="20">
        <v>40238</v>
      </c>
      <c r="B46" s="3">
        <v>9.734543010752688</v>
      </c>
      <c r="C46" s="3">
        <v>8.605510752688156</v>
      </c>
      <c r="D46" s="3">
        <v>6.9598118279569894</v>
      </c>
      <c r="E46" s="3">
        <v>5.3012096774193491</v>
      </c>
      <c r="F46" s="3">
        <v>4.0541666666666716</v>
      </c>
      <c r="G46" s="3">
        <v>5.4317204301075268</v>
      </c>
      <c r="H46" s="6">
        <f t="shared" si="0"/>
        <v>5076.8611964106885</v>
      </c>
      <c r="I46" s="6">
        <f t="shared" si="1"/>
        <v>7.4398460244555737</v>
      </c>
      <c r="J46" s="3">
        <v>6.9040322580645181</v>
      </c>
      <c r="K46" s="3">
        <v>5.9063172043010805</v>
      </c>
      <c r="L46" s="3">
        <v>4.9448924731182835</v>
      </c>
      <c r="M46" s="3">
        <v>3.3165322580645173</v>
      </c>
      <c r="N46" s="3">
        <v>3.3999999999999981</v>
      </c>
      <c r="O46" s="3">
        <v>3.1365591397849433</v>
      </c>
      <c r="P46" s="3">
        <v>84.507930107526832</v>
      </c>
      <c r="Q46" s="3">
        <v>84.166666666666643</v>
      </c>
      <c r="R46" s="3">
        <v>87.690188172042866</v>
      </c>
      <c r="S46" s="3">
        <v>87.433602150537567</v>
      </c>
      <c r="T46" s="3">
        <v>92.805376344086</v>
      </c>
      <c r="U46" s="3">
        <v>85.8704301075269</v>
      </c>
      <c r="V46" s="3">
        <v>0.58398411050968801</v>
      </c>
      <c r="W46" s="3"/>
      <c r="X46" s="3">
        <v>186.75793010752599</v>
      </c>
      <c r="Y46" s="3">
        <v>186.2</v>
      </c>
      <c r="Z46" s="3">
        <v>8.7948924731182796</v>
      </c>
      <c r="AA46" s="3">
        <v>6.7547043010752601</v>
      </c>
      <c r="AB46" s="3"/>
      <c r="AC46" s="3">
        <v>5.032258064516129</v>
      </c>
      <c r="AD46" s="3">
        <v>5.5032258064516117</v>
      </c>
      <c r="AE46" s="3">
        <v>4.3677419354838705</v>
      </c>
      <c r="AF46" s="3">
        <v>3.0709677419354842</v>
      </c>
      <c r="AG46" s="3">
        <v>2.0548387096774197</v>
      </c>
      <c r="AH46" s="3">
        <v>2.5419354838709682</v>
      </c>
      <c r="AI46" s="6">
        <f t="shared" si="2"/>
        <v>4906.7685930686921</v>
      </c>
      <c r="AJ46" s="6">
        <f t="shared" si="3"/>
        <v>5.6673416019287579</v>
      </c>
      <c r="AK46" s="3">
        <v>4.3096774193548395</v>
      </c>
      <c r="AL46" s="3">
        <v>4.0612903225806445</v>
      </c>
      <c r="AM46" s="3">
        <v>3.1419354838709679</v>
      </c>
      <c r="AN46" s="3">
        <v>1.7677419354838706</v>
      </c>
      <c r="AO46" s="3">
        <v>1.064516129032258</v>
      </c>
      <c r="AP46" s="3">
        <v>1.064516129032258</v>
      </c>
      <c r="AQ46" s="3">
        <v>53.358064516129019</v>
      </c>
      <c r="AR46" s="3">
        <v>64.100000000000009</v>
      </c>
      <c r="AS46" s="3">
        <v>68.874193548387098</v>
      </c>
      <c r="AT46" s="3">
        <v>74.945161290322574</v>
      </c>
      <c r="AU46" s="3">
        <v>82.435483870967758</v>
      </c>
      <c r="AV46" s="3">
        <v>69.051612903225802</v>
      </c>
      <c r="AW46" s="21"/>
      <c r="AX46" s="21"/>
      <c r="AY46" s="20">
        <v>40238</v>
      </c>
      <c r="AZ46" s="21">
        <v>5076.8611964106885</v>
      </c>
      <c r="BA46" s="26">
        <v>0.84</v>
      </c>
      <c r="BB46" s="26">
        <v>0.84</v>
      </c>
      <c r="BC46" s="30">
        <v>-1.1000000000000001</v>
      </c>
      <c r="BD46">
        <v>29.07</v>
      </c>
      <c r="BE46">
        <v>28.18</v>
      </c>
      <c r="BF46">
        <v>26.56</v>
      </c>
      <c r="BG46" s="9"/>
      <c r="BH46" s="9"/>
      <c r="BI46" s="9"/>
      <c r="BJ46" s="9"/>
    </row>
    <row r="47" spans="1:62" ht="15" thickBot="1">
      <c r="A47" s="20">
        <v>40269</v>
      </c>
      <c r="B47" s="3">
        <v>10.073611111111111</v>
      </c>
      <c r="C47" s="3">
        <v>8.9718055555555498</v>
      </c>
      <c r="D47" s="3">
        <v>7.472083333333333</v>
      </c>
      <c r="E47" s="3">
        <v>5.9473611111111051</v>
      </c>
      <c r="F47" s="3">
        <v>4.6848611111111165</v>
      </c>
      <c r="G47" s="3">
        <v>5.8601388888888932</v>
      </c>
      <c r="H47" s="6">
        <f t="shared" si="0"/>
        <v>5209.3912441355669</v>
      </c>
      <c r="I47" s="6">
        <f t="shared" si="1"/>
        <v>6.9931180337178738</v>
      </c>
      <c r="J47" s="3">
        <v>6.6051388888889004</v>
      </c>
      <c r="K47" s="3">
        <v>5.3145833333333359</v>
      </c>
      <c r="L47" s="3">
        <v>4.3644444444444437</v>
      </c>
      <c r="M47" s="3">
        <v>2.8386111111111139</v>
      </c>
      <c r="N47" s="3">
        <v>2.4562499999999998</v>
      </c>
      <c r="O47" s="3">
        <v>2.2427777777777793</v>
      </c>
      <c r="P47" s="3">
        <v>81.610555555555536</v>
      </c>
      <c r="Q47" s="3">
        <v>79.562083333333305</v>
      </c>
      <c r="R47" s="3">
        <v>82.072222222222138</v>
      </c>
      <c r="S47" s="3">
        <v>81.369583333333409</v>
      </c>
      <c r="T47" s="3">
        <v>85.22791666666663</v>
      </c>
      <c r="U47" s="3">
        <v>79.051805555555475</v>
      </c>
      <c r="V47" s="3">
        <v>0.57655724714493395</v>
      </c>
      <c r="W47" s="3"/>
      <c r="X47" s="3">
        <v>188.45249999999999</v>
      </c>
      <c r="Y47" s="3">
        <v>52.6</v>
      </c>
      <c r="Z47" s="3">
        <v>9.0431944444444401</v>
      </c>
      <c r="AA47" s="3">
        <v>6.4997222222222204</v>
      </c>
      <c r="AB47" s="3"/>
      <c r="AC47" s="3">
        <v>4.1166666666666663</v>
      </c>
      <c r="AD47" s="3">
        <v>5.0133333333333319</v>
      </c>
      <c r="AE47" s="3">
        <v>3.9333333333333331</v>
      </c>
      <c r="AF47" s="3">
        <v>3.0333333333333323</v>
      </c>
      <c r="AG47" s="3">
        <v>2.1033333333333339</v>
      </c>
      <c r="AH47" s="3">
        <v>2.2200000000000002</v>
      </c>
      <c r="AI47" s="6">
        <f t="shared" si="2"/>
        <v>4993.6805373895913</v>
      </c>
      <c r="AJ47" s="6">
        <f t="shared" si="3"/>
        <v>4.6727595740031704</v>
      </c>
      <c r="AK47" s="3">
        <v>3.4033333333333333</v>
      </c>
      <c r="AL47" s="3">
        <v>3.223333333333334</v>
      </c>
      <c r="AM47" s="3">
        <v>2.2566666666666664</v>
      </c>
      <c r="AN47" s="3">
        <v>0.81666666666666643</v>
      </c>
      <c r="AO47" s="3">
        <v>-0.32333333333333331</v>
      </c>
      <c r="AP47" s="3">
        <v>-0.32333333333333331</v>
      </c>
      <c r="AQ47" s="3">
        <v>51.429999999999993</v>
      </c>
      <c r="AR47" s="3">
        <v>57.056666666666658</v>
      </c>
      <c r="AS47" s="3">
        <v>58.996666666666663</v>
      </c>
      <c r="AT47" s="3">
        <v>65.596666666666664</v>
      </c>
      <c r="AU47" s="3">
        <v>71.899999999999991</v>
      </c>
      <c r="AV47" s="3">
        <v>58.13</v>
      </c>
      <c r="AW47" s="21"/>
      <c r="AX47" s="21"/>
      <c r="AY47" s="20">
        <v>40269</v>
      </c>
      <c r="AZ47" s="21">
        <v>5209.3912441355669</v>
      </c>
      <c r="BA47" s="22">
        <v>0.35</v>
      </c>
      <c r="BB47" s="22">
        <v>0.35</v>
      </c>
      <c r="BC47" s="30">
        <v>2</v>
      </c>
      <c r="BD47">
        <v>29.13</v>
      </c>
      <c r="BE47">
        <v>28.2</v>
      </c>
      <c r="BF47">
        <v>25.43</v>
      </c>
      <c r="BG47" s="9"/>
      <c r="BH47" s="9"/>
      <c r="BI47" s="9"/>
      <c r="BJ47" s="9"/>
    </row>
    <row r="48" spans="1:62" ht="15" thickBot="1">
      <c r="A48" s="20">
        <v>40299</v>
      </c>
      <c r="B48" s="3">
        <v>8.9106182795698921</v>
      </c>
      <c r="C48" s="3">
        <v>8.4241935483870805</v>
      </c>
      <c r="D48" s="3">
        <v>6.9047043010752702</v>
      </c>
      <c r="E48" s="3">
        <v>5.665053763440854</v>
      </c>
      <c r="F48" s="3">
        <v>4.4186827956989232</v>
      </c>
      <c r="G48" s="3">
        <v>5.7016129032258078</v>
      </c>
      <c r="H48" s="6">
        <f t="shared" si="0"/>
        <v>5224.1466287485282</v>
      </c>
      <c r="I48" s="6">
        <f t="shared" si="1"/>
        <v>6.4293393755719848</v>
      </c>
      <c r="J48" s="3">
        <v>4.5379032258064536</v>
      </c>
      <c r="K48" s="3">
        <v>3.4918010752688118</v>
      </c>
      <c r="L48" s="3">
        <v>2.5545698924731193</v>
      </c>
      <c r="M48" s="3">
        <v>0.9000000000000008</v>
      </c>
      <c r="N48" s="3">
        <v>0.30618279569892598</v>
      </c>
      <c r="O48" s="3">
        <v>0.13266129032258114</v>
      </c>
      <c r="P48" s="3">
        <v>77.247043010752648</v>
      </c>
      <c r="Q48" s="3">
        <v>73.322311827956952</v>
      </c>
      <c r="R48" s="3">
        <v>75.756854838709629</v>
      </c>
      <c r="S48" s="3">
        <v>73.181317204301052</v>
      </c>
      <c r="T48" s="3">
        <v>75.692607526881702</v>
      </c>
      <c r="U48" s="3">
        <v>70.147043010752697</v>
      </c>
      <c r="V48" s="3">
        <v>0.554913686580777</v>
      </c>
      <c r="W48" s="3"/>
      <c r="X48" s="3">
        <v>173.417204301075</v>
      </c>
      <c r="Y48" s="3">
        <v>52.8</v>
      </c>
      <c r="Z48" s="3">
        <v>7.8857526881720403</v>
      </c>
      <c r="AA48" s="3">
        <v>4.4079301075268802</v>
      </c>
      <c r="AB48" s="3"/>
      <c r="AC48" s="3">
        <v>2.870967741935484</v>
      </c>
      <c r="AD48" s="3">
        <v>4.387096774193548</v>
      </c>
      <c r="AE48" s="3">
        <v>3.274193548387097</v>
      </c>
      <c r="AF48" s="3">
        <v>2.7032258064516124</v>
      </c>
      <c r="AG48" s="3">
        <v>1.5903225806451615</v>
      </c>
      <c r="AH48" s="3">
        <v>1.8677419354838711</v>
      </c>
      <c r="AI48" s="6">
        <f t="shared" si="2"/>
        <v>4917.4500816073196</v>
      </c>
      <c r="AJ48" s="6">
        <f t="shared" si="3"/>
        <v>4.3347454159923187</v>
      </c>
      <c r="AK48" s="3">
        <v>1.4774193548387096</v>
      </c>
      <c r="AL48" s="3">
        <v>1.2903225806451615</v>
      </c>
      <c r="AM48" s="3">
        <v>0.32903225806451641</v>
      </c>
      <c r="AN48" s="3">
        <v>-1.5419354838709678</v>
      </c>
      <c r="AO48" s="3">
        <v>-2.774193548387097</v>
      </c>
      <c r="AP48" s="3">
        <v>-2.774193548387097</v>
      </c>
      <c r="AQ48" s="3">
        <v>46.50322580645161</v>
      </c>
      <c r="AR48" s="3">
        <v>50.967741935483865</v>
      </c>
      <c r="AS48" s="3">
        <v>52.967741935483865</v>
      </c>
      <c r="AT48" s="3">
        <v>55.180645161290336</v>
      </c>
      <c r="AU48" s="3">
        <v>59.054838709677412</v>
      </c>
      <c r="AV48" s="3">
        <v>46.754838709677401</v>
      </c>
      <c r="AW48" s="21"/>
      <c r="AX48" s="21"/>
      <c r="AY48" s="20">
        <v>40299</v>
      </c>
      <c r="AZ48" s="21">
        <v>5224.1466287485282</v>
      </c>
      <c r="BA48" s="22">
        <v>-0.17</v>
      </c>
      <c r="BB48" s="22">
        <v>-0.17</v>
      </c>
      <c r="BC48" s="30">
        <v>1.5</v>
      </c>
      <c r="BD48">
        <v>29.01</v>
      </c>
      <c r="BE48">
        <v>27.71</v>
      </c>
      <c r="BF48">
        <v>24.65</v>
      </c>
      <c r="BG48" s="9"/>
      <c r="BH48" s="9"/>
      <c r="BI48" s="9"/>
      <c r="BJ48" s="9"/>
    </row>
    <row r="49" spans="1:62" ht="15" thickBot="1">
      <c r="A49" s="20">
        <v>40330</v>
      </c>
      <c r="B49" s="3">
        <v>8.2361111111111107</v>
      </c>
      <c r="C49" s="3">
        <v>8.3969444444444399</v>
      </c>
      <c r="D49" s="3">
        <v>6.5661111111111108</v>
      </c>
      <c r="E49" s="3">
        <v>5.1854166666666623</v>
      </c>
      <c r="F49" s="3">
        <v>3.7279166666666699</v>
      </c>
      <c r="G49" s="3">
        <v>5.124861111111116</v>
      </c>
      <c r="H49" s="6">
        <f t="shared" si="0"/>
        <v>5036.162147035202</v>
      </c>
      <c r="I49" s="6">
        <f t="shared" si="1"/>
        <v>7.4562989335300873</v>
      </c>
      <c r="J49" s="3">
        <v>1.9791666666666661</v>
      </c>
      <c r="K49" s="3">
        <v>0.82625000000000071</v>
      </c>
      <c r="L49" s="3">
        <v>0.16305555555555537</v>
      </c>
      <c r="M49" s="3">
        <v>-1.1398611111111103</v>
      </c>
      <c r="N49" s="3">
        <v>-1.8965277777777771</v>
      </c>
      <c r="O49" s="3">
        <v>-2.0125000000000002</v>
      </c>
      <c r="P49" s="3">
        <v>69.173888888888811</v>
      </c>
      <c r="Q49" s="3">
        <v>61.548194444444462</v>
      </c>
      <c r="R49" s="3">
        <v>66.020277777777821</v>
      </c>
      <c r="S49" s="3">
        <v>65.600138888888921</v>
      </c>
      <c r="T49" s="3">
        <v>68.667500000000018</v>
      </c>
      <c r="U49" s="3">
        <v>63.182916666666671</v>
      </c>
      <c r="V49" s="3">
        <v>0.723295965852503</v>
      </c>
      <c r="W49" s="3"/>
      <c r="X49" s="3">
        <v>164.51111111111101</v>
      </c>
      <c r="Y49" s="3">
        <v>3.8</v>
      </c>
      <c r="Z49" s="3">
        <v>7.4186111111111099</v>
      </c>
      <c r="AA49" s="3">
        <v>1.96986111111111</v>
      </c>
      <c r="AB49" s="3"/>
      <c r="AC49" s="3">
        <v>1</v>
      </c>
      <c r="AD49" s="3">
        <v>4.0233333333333334</v>
      </c>
      <c r="AE49" s="3">
        <v>2.8866666666666663</v>
      </c>
      <c r="AF49" s="3">
        <v>2.1666666666666665</v>
      </c>
      <c r="AG49" s="3">
        <v>1.0766666666666667</v>
      </c>
      <c r="AH49" s="3">
        <v>1.1299999999999997</v>
      </c>
      <c r="AI49" s="6">
        <f t="shared" si="2"/>
        <v>4785.7713901063744</v>
      </c>
      <c r="AJ49" s="6">
        <f t="shared" si="3"/>
        <v>4.6304987380334852</v>
      </c>
      <c r="AK49" s="3">
        <v>-0.97333333333333316</v>
      </c>
      <c r="AL49" s="3">
        <v>-1.4633333333333336</v>
      </c>
      <c r="AM49" s="3">
        <v>-2.2166666666666663</v>
      </c>
      <c r="AN49" s="3">
        <v>-3.65</v>
      </c>
      <c r="AO49" s="3">
        <v>-5.3600000000000012</v>
      </c>
      <c r="AP49" s="3">
        <v>-5.3633333333333342</v>
      </c>
      <c r="AQ49" s="3">
        <v>37.169999999999995</v>
      </c>
      <c r="AR49" s="3">
        <v>40.373333333333328</v>
      </c>
      <c r="AS49" s="3">
        <v>43.79</v>
      </c>
      <c r="AT49" s="3">
        <v>46.51</v>
      </c>
      <c r="AU49" s="3">
        <v>50.396666666666661</v>
      </c>
      <c r="AV49" s="3">
        <v>38.553333333333327</v>
      </c>
      <c r="AW49" s="21"/>
      <c r="AX49" s="21"/>
      <c r="AY49" s="20">
        <v>40330</v>
      </c>
      <c r="AZ49" s="21">
        <v>5036.162147035202</v>
      </c>
      <c r="BA49" s="29">
        <v>-0.66</v>
      </c>
      <c r="BB49" s="29">
        <v>-0.66</v>
      </c>
      <c r="BC49" s="30">
        <v>0.6</v>
      </c>
      <c r="BD49">
        <v>28.66</v>
      </c>
      <c r="BE49">
        <v>27.04</v>
      </c>
      <c r="BF49">
        <v>23.14</v>
      </c>
      <c r="BG49" s="9"/>
      <c r="BH49" s="9"/>
      <c r="BI49" s="9"/>
      <c r="BJ49" s="9"/>
    </row>
    <row r="50" spans="1:62" ht="15" thickBot="1">
      <c r="A50" s="20">
        <v>40360</v>
      </c>
      <c r="B50" s="3">
        <v>8.1827956989247319</v>
      </c>
      <c r="C50" s="3">
        <v>8.1413978494623649</v>
      </c>
      <c r="D50" s="3">
        <v>6.3370967741935473</v>
      </c>
      <c r="E50" s="3">
        <v>5.0936827956989248</v>
      </c>
      <c r="F50" s="3">
        <v>3.674731182795699</v>
      </c>
      <c r="G50" s="3">
        <v>5.1618279569892467</v>
      </c>
      <c r="H50" s="6">
        <f t="shared" si="0"/>
        <v>5052.1383701031282</v>
      </c>
      <c r="I50" s="6">
        <f t="shared" si="1"/>
        <v>7.0890069983033133</v>
      </c>
      <c r="J50" s="3">
        <v>0.84462365591397648</v>
      </c>
      <c r="K50" s="3">
        <v>-0.61639784946236564</v>
      </c>
      <c r="L50" s="3">
        <v>-1.4368279569892464</v>
      </c>
      <c r="M50" s="3">
        <v>-2.8008064516129045</v>
      </c>
      <c r="N50" s="3">
        <v>-3.4897849462365591</v>
      </c>
      <c r="O50" s="3">
        <v>-3.5537634408602128</v>
      </c>
      <c r="P50" s="3">
        <v>65.591397849462368</v>
      </c>
      <c r="Q50" s="3">
        <v>58.422715053763106</v>
      </c>
      <c r="R50" s="3">
        <v>61.639516129032152</v>
      </c>
      <c r="S50" s="3">
        <v>59.966532258064269</v>
      </c>
      <c r="T50" s="3">
        <v>62.257123655913837</v>
      </c>
      <c r="U50" s="3">
        <v>57.927688172042799</v>
      </c>
      <c r="V50" s="3">
        <v>0.65798855655024802</v>
      </c>
      <c r="W50" s="3"/>
      <c r="X50" s="3">
        <v>178.25470430107501</v>
      </c>
      <c r="Y50" s="3">
        <v>2.6</v>
      </c>
      <c r="Z50" s="3">
        <v>7.1045698924731102</v>
      </c>
      <c r="AA50" s="3">
        <v>0.85524193548387095</v>
      </c>
      <c r="AB50" s="3"/>
      <c r="AC50" s="3">
        <v>0.72580645161290325</v>
      </c>
      <c r="AD50" s="3">
        <v>3.2387096774193549</v>
      </c>
      <c r="AE50" s="3">
        <v>1.8870967741935485</v>
      </c>
      <c r="AF50" s="3">
        <v>1.435483870967742</v>
      </c>
      <c r="AG50" s="3">
        <v>0.46451612903225808</v>
      </c>
      <c r="AH50" s="3">
        <v>0.48064516129032259</v>
      </c>
      <c r="AI50" s="6">
        <f t="shared" si="2"/>
        <v>4639.3587087326177</v>
      </c>
      <c r="AJ50" s="6">
        <f t="shared" si="3"/>
        <v>4.2190706855501441</v>
      </c>
      <c r="AK50" s="3">
        <v>-1.7225806451612906</v>
      </c>
      <c r="AL50" s="3">
        <v>-2.82258064516129</v>
      </c>
      <c r="AM50" s="3">
        <v>-3.5709677419354837</v>
      </c>
      <c r="AN50" s="3">
        <v>-5.2064516129032263</v>
      </c>
      <c r="AO50" s="3">
        <v>-6.580645161290323</v>
      </c>
      <c r="AP50" s="3">
        <v>-6.580645161290323</v>
      </c>
      <c r="AQ50" s="3">
        <v>30.674193548387091</v>
      </c>
      <c r="AR50" s="3">
        <v>33.064516129032256</v>
      </c>
      <c r="AS50" s="3">
        <v>35.706451612903223</v>
      </c>
      <c r="AT50" s="3">
        <v>38.706451612903237</v>
      </c>
      <c r="AU50" s="3">
        <v>42.88064516129031</v>
      </c>
      <c r="AV50" s="3">
        <v>30.551612903225806</v>
      </c>
      <c r="AW50">
        <v>5006.0250718309999</v>
      </c>
      <c r="AX50">
        <v>2.1503544122985399</v>
      </c>
      <c r="AY50" s="20">
        <v>40360</v>
      </c>
      <c r="AZ50">
        <v>5052.1383701031282</v>
      </c>
      <c r="BA50" s="29">
        <v>-1.05</v>
      </c>
      <c r="BB50" s="29">
        <v>-1.05</v>
      </c>
      <c r="BC50" s="30">
        <v>3</v>
      </c>
      <c r="BD50">
        <v>28.1</v>
      </c>
      <c r="BE50">
        <v>26.22</v>
      </c>
      <c r="BF50">
        <v>20.93</v>
      </c>
      <c r="BG50" s="9"/>
      <c r="BH50" s="9"/>
      <c r="BI50" s="9"/>
      <c r="BJ50" s="9"/>
    </row>
    <row r="51" spans="1:62" ht="15" thickBot="1">
      <c r="A51" s="20">
        <v>40391</v>
      </c>
      <c r="B51" s="3">
        <v>8.5321931589537225</v>
      </c>
      <c r="C51" s="3">
        <v>8.5549731182795465</v>
      </c>
      <c r="D51" s="3">
        <v>6.874462365591425</v>
      </c>
      <c r="E51" s="3">
        <v>5.2499999999999973</v>
      </c>
      <c r="F51" s="3">
        <v>3.5653225806451641</v>
      </c>
      <c r="G51" s="3">
        <v>5.2251344086021509</v>
      </c>
      <c r="H51" s="6">
        <f t="shared" si="0"/>
        <v>4995.8268304570211</v>
      </c>
      <c r="I51" s="6">
        <f t="shared" si="1"/>
        <v>8.0689477220909183</v>
      </c>
      <c r="J51" s="3">
        <v>-1.6549295774647885</v>
      </c>
      <c r="K51" s="3">
        <v>-2.9494623655913963</v>
      </c>
      <c r="L51" s="3">
        <v>-3.6633064516129052</v>
      </c>
      <c r="M51" s="3">
        <v>-4.8603494623655914</v>
      </c>
      <c r="N51" s="3">
        <v>-5.5802419354838682</v>
      </c>
      <c r="O51" s="3">
        <v>-5.6567204301075185</v>
      </c>
      <c r="P51" s="3">
        <v>54.970020120724335</v>
      </c>
      <c r="Q51" s="3">
        <v>49.077419354838696</v>
      </c>
      <c r="R51" s="3">
        <v>51.984811827957046</v>
      </c>
      <c r="S51" s="3">
        <v>52.603494623655912</v>
      </c>
      <c r="T51" s="3">
        <v>55.774193548387046</v>
      </c>
      <c r="U51" s="3">
        <v>51.227016129032172</v>
      </c>
      <c r="V51" s="3">
        <v>0.61794676329033305</v>
      </c>
      <c r="W51" s="3"/>
      <c r="X51" s="3">
        <v>216.761155913978</v>
      </c>
      <c r="Y51" s="3">
        <v>1.4</v>
      </c>
      <c r="Z51" s="3">
        <v>7.5006720430107503</v>
      </c>
      <c r="AA51" s="3">
        <v>-0.641397849462365</v>
      </c>
      <c r="AB51" s="3"/>
      <c r="AC51" s="3">
        <v>7.1428571428571425E-2</v>
      </c>
      <c r="AD51" s="3">
        <v>2.8322580645161293</v>
      </c>
      <c r="AE51" s="3">
        <v>2.0096774193548383</v>
      </c>
      <c r="AF51" s="3">
        <v>1.3677419354838711</v>
      </c>
      <c r="AG51" s="3">
        <v>0.16774193548387098</v>
      </c>
      <c r="AH51" s="3">
        <v>0.24193548387096775</v>
      </c>
      <c r="AI51" s="6">
        <f t="shared" si="2"/>
        <v>4619.8940088909139</v>
      </c>
      <c r="AJ51" s="6">
        <f t="shared" si="3"/>
        <v>4.2010046493610691</v>
      </c>
      <c r="AK51" s="3">
        <v>-4.60952380952381</v>
      </c>
      <c r="AL51" s="3">
        <v>-6.2225806451612922</v>
      </c>
      <c r="AM51" s="3">
        <v>-6.870967741935484</v>
      </c>
      <c r="AN51" s="3">
        <v>-8.4709677419354836</v>
      </c>
      <c r="AO51" s="3">
        <v>-9.8483870967741982</v>
      </c>
      <c r="AP51" s="3">
        <v>-9.8548387096774235</v>
      </c>
      <c r="AQ51" s="3">
        <v>22.328571428571429</v>
      </c>
      <c r="AR51" s="3">
        <v>25.719354838709684</v>
      </c>
      <c r="AS51" s="3">
        <v>26.85806451612903</v>
      </c>
      <c r="AT51" s="3">
        <v>32.890322580645176</v>
      </c>
      <c r="AU51" s="3">
        <v>36.806451612903224</v>
      </c>
      <c r="AV51" s="3">
        <v>26.622580645161293</v>
      </c>
      <c r="AW51">
        <v>6469.164108297</v>
      </c>
      <c r="AX51">
        <v>2.1737782621965702</v>
      </c>
      <c r="AY51" s="20">
        <v>40391</v>
      </c>
      <c r="AZ51">
        <v>4995.8268304570211</v>
      </c>
      <c r="BA51" s="29">
        <v>-1.35</v>
      </c>
      <c r="BB51" s="29">
        <v>-1.35</v>
      </c>
      <c r="BC51" s="30">
        <v>3</v>
      </c>
      <c r="BD51">
        <v>27.54</v>
      </c>
      <c r="BE51">
        <v>25.47</v>
      </c>
      <c r="BF51">
        <v>19.7</v>
      </c>
      <c r="BG51" s="9"/>
      <c r="BH51" s="9"/>
      <c r="BI51" s="9"/>
      <c r="BJ51" s="9"/>
    </row>
    <row r="52" spans="1:62" ht="15" thickBot="1">
      <c r="A52" s="20">
        <v>40422</v>
      </c>
      <c r="B52" s="3"/>
      <c r="C52" s="3">
        <v>8.3562499999999869</v>
      </c>
      <c r="D52" s="3">
        <v>6.746111111111146</v>
      </c>
      <c r="E52" s="3">
        <v>4.9551388888888903</v>
      </c>
      <c r="F52" s="3">
        <v>3.4216666666666677</v>
      </c>
      <c r="G52" s="3">
        <v>4.8520833333333337</v>
      </c>
      <c r="H52" s="6">
        <f t="shared" si="0"/>
        <v>4972.3920654257145</v>
      </c>
      <c r="I52" s="6">
        <f t="shared" si="1"/>
        <v>8.0783181907907586</v>
      </c>
      <c r="K52" s="3">
        <v>1.1255555555555561</v>
      </c>
      <c r="L52" s="3">
        <v>0.45763888888888915</v>
      </c>
      <c r="M52" s="3">
        <v>-0.74611111111111217</v>
      </c>
      <c r="N52" s="3">
        <v>-1.0191666666666674</v>
      </c>
      <c r="O52" s="3">
        <v>-1.1187500000000006</v>
      </c>
      <c r="Q52" s="3">
        <v>64.349583333333385</v>
      </c>
      <c r="R52" s="3">
        <v>68.038888888888835</v>
      </c>
      <c r="S52" s="3">
        <v>69.414583333333354</v>
      </c>
      <c r="T52" s="3">
        <v>74.708194444444331</v>
      </c>
      <c r="U52" s="3">
        <v>68.952638888888742</v>
      </c>
      <c r="V52" s="3"/>
      <c r="W52" s="3"/>
      <c r="X52" s="3"/>
      <c r="Y52" s="3"/>
      <c r="Z52" s="3"/>
      <c r="AA52" s="3"/>
      <c r="AB52" s="3"/>
      <c r="AC52" s="3"/>
      <c r="AD52" s="3">
        <v>3.8600000000000003</v>
      </c>
      <c r="AE52" s="3">
        <v>2.54</v>
      </c>
      <c r="AF52" s="3">
        <v>1.4533333333333331</v>
      </c>
      <c r="AG52" s="3">
        <v>0.18333333333333338</v>
      </c>
      <c r="AH52" s="3">
        <v>0.65</v>
      </c>
      <c r="AI52" s="6">
        <f t="shared" si="2"/>
        <v>4586.5010304252273</v>
      </c>
      <c r="AJ52" s="6">
        <f t="shared" si="3"/>
        <v>5.882220681050236</v>
      </c>
      <c r="AK52" s="3"/>
      <c r="AL52" s="3">
        <v>-1.1533333333333333</v>
      </c>
      <c r="AM52" s="3">
        <v>-1.7133333333333336</v>
      </c>
      <c r="AN52" s="3">
        <v>-2.96</v>
      </c>
      <c r="AO52" s="3">
        <v>-4.003333333333333</v>
      </c>
      <c r="AP52" s="3">
        <v>-4.003333333333333</v>
      </c>
      <c r="AQ52" s="3"/>
      <c r="AR52" s="3">
        <v>39.1</v>
      </c>
      <c r="AS52" s="3">
        <v>41.563333333333325</v>
      </c>
      <c r="AT52" s="3">
        <v>47.593333333333334</v>
      </c>
      <c r="AU52" s="3">
        <v>53.246666666666677</v>
      </c>
      <c r="AV52" s="3">
        <v>42.93</v>
      </c>
      <c r="AW52">
        <v>5032.8438936390003</v>
      </c>
      <c r="AX52">
        <v>1.7475152408468799</v>
      </c>
      <c r="AY52" s="20">
        <v>40422</v>
      </c>
      <c r="AZ52">
        <v>4972.3920654257145</v>
      </c>
      <c r="BA52" s="29">
        <v>-1.56</v>
      </c>
      <c r="BB52" s="29">
        <v>-1.56</v>
      </c>
      <c r="BC52" s="30">
        <v>3.7</v>
      </c>
      <c r="BD52">
        <v>27.32</v>
      </c>
      <c r="BE52">
        <v>25.12</v>
      </c>
      <c r="BF52">
        <v>19.5</v>
      </c>
      <c r="BG52" s="9"/>
      <c r="BH52" s="9"/>
      <c r="BI52" s="9"/>
      <c r="BJ52" s="9"/>
    </row>
    <row r="53" spans="1:62" ht="15" thickBot="1">
      <c r="A53" s="20">
        <v>40452</v>
      </c>
      <c r="B53" s="3"/>
      <c r="C53" s="3">
        <v>7.5797043010752505</v>
      </c>
      <c r="D53" s="3">
        <v>6.0193548387097122</v>
      </c>
      <c r="E53" s="3">
        <v>4.5091397849462309</v>
      </c>
      <c r="F53" s="3">
        <v>3.1575268817204294</v>
      </c>
      <c r="G53" s="3">
        <v>4.551747311827957</v>
      </c>
      <c r="H53" s="6">
        <f t="shared" si="0"/>
        <v>4983.3461474177611</v>
      </c>
      <c r="I53" s="6">
        <f t="shared" si="1"/>
        <v>7.1806958350661301</v>
      </c>
      <c r="K53" s="3">
        <v>2.00698924731183</v>
      </c>
      <c r="L53" s="3">
        <v>1.2161290322580647</v>
      </c>
      <c r="M53" s="3">
        <v>-5.6451612903225513E-2</v>
      </c>
      <c r="N53" s="3">
        <v>-0.10739247311827899</v>
      </c>
      <c r="O53" s="3">
        <v>-0.19126344086021477</v>
      </c>
      <c r="Q53" s="3">
        <v>70.281720430107512</v>
      </c>
      <c r="R53" s="3">
        <v>73.533333333333402</v>
      </c>
      <c r="S53" s="3">
        <v>74.008198924731175</v>
      </c>
      <c r="T53" s="3">
        <v>79.79663978494618</v>
      </c>
      <c r="U53" s="3">
        <v>73.49798387096763</v>
      </c>
      <c r="V53" s="3"/>
      <c r="W53" s="3"/>
      <c r="X53" s="3"/>
      <c r="Y53" s="3"/>
      <c r="Z53" s="3"/>
      <c r="AA53" s="3"/>
      <c r="AB53" s="3"/>
      <c r="AC53" s="3"/>
      <c r="AD53" s="3">
        <v>3.2387096774193549</v>
      </c>
      <c r="AE53" s="3">
        <v>2.0064516129032253</v>
      </c>
      <c r="AF53" s="3">
        <v>1.1387096774193552</v>
      </c>
      <c r="AG53" s="3">
        <v>-0.33225806451612899</v>
      </c>
      <c r="AH53" s="3">
        <v>0.67741935483870963</v>
      </c>
      <c r="AI53" s="6">
        <f t="shared" si="2"/>
        <v>4512.6274047555335</v>
      </c>
      <c r="AJ53" s="6">
        <f t="shared" si="3"/>
        <v>5.6222148194208508</v>
      </c>
      <c r="AK53" s="3"/>
      <c r="AL53" s="3">
        <v>0.26774193548387093</v>
      </c>
      <c r="AM53" s="3">
        <v>-0.65161290322580634</v>
      </c>
      <c r="AN53" s="3">
        <v>-2.2580645161290311</v>
      </c>
      <c r="AO53" s="3">
        <v>-2.7516129032258068</v>
      </c>
      <c r="AP53" s="3">
        <v>-2.7677419354838708</v>
      </c>
      <c r="AQ53" s="3"/>
      <c r="AR53" s="3">
        <v>45.596774193548377</v>
      </c>
      <c r="AS53" s="3">
        <v>48.158064516129031</v>
      </c>
      <c r="AT53" s="3">
        <v>54.677419354838698</v>
      </c>
      <c r="AU53" s="3">
        <v>61.612903225806456</v>
      </c>
      <c r="AV53" s="3">
        <v>50.329032258064522</v>
      </c>
      <c r="AW53">
        <v>6803.4606775909997</v>
      </c>
      <c r="AX53">
        <v>2.28610909865289</v>
      </c>
      <c r="AY53" s="20">
        <v>40452</v>
      </c>
      <c r="AZ53">
        <v>4983.3461474177611</v>
      </c>
      <c r="BA53" s="29">
        <v>-1.64</v>
      </c>
      <c r="BB53" s="29">
        <v>-1.64</v>
      </c>
      <c r="BC53" s="30">
        <v>2.9</v>
      </c>
      <c r="BD53">
        <v>27.15</v>
      </c>
      <c r="BE53">
        <v>25.03</v>
      </c>
      <c r="BF53">
        <v>19.73</v>
      </c>
      <c r="BG53" s="9"/>
      <c r="BH53" s="9"/>
      <c r="BI53" s="9"/>
      <c r="BJ53" s="9"/>
    </row>
    <row r="54" spans="1:62" ht="15" thickBot="1">
      <c r="A54" s="20">
        <v>40483</v>
      </c>
      <c r="B54" s="3"/>
      <c r="C54" s="3">
        <v>6.6647222222222089</v>
      </c>
      <c r="D54" s="3">
        <v>5.3738888888889118</v>
      </c>
      <c r="E54" s="3">
        <v>3.9476388888888865</v>
      </c>
      <c r="F54" s="3">
        <v>2.7591666666666663</v>
      </c>
      <c r="G54" s="3">
        <v>4.2437500000000004</v>
      </c>
      <c r="H54" s="6">
        <f t="shared" si="0"/>
        <v>4977.8671742796569</v>
      </c>
      <c r="I54" s="6">
        <f t="shared" si="1"/>
        <v>6.3966798563543232</v>
      </c>
      <c r="K54" s="3">
        <v>3.72694444444444</v>
      </c>
      <c r="L54" s="3">
        <v>2.8080555555555566</v>
      </c>
      <c r="M54" s="3">
        <v>1.2302777777777767</v>
      </c>
      <c r="N54" s="3">
        <v>1.3108333333333317</v>
      </c>
      <c r="O54" s="3">
        <v>1.0791666666666655</v>
      </c>
      <c r="Q54" s="3">
        <v>83.022083333333157</v>
      </c>
      <c r="R54" s="3">
        <v>84.838333333333239</v>
      </c>
      <c r="S54" s="3">
        <v>83.569583333333398</v>
      </c>
      <c r="T54" s="3">
        <v>88.551249999999925</v>
      </c>
      <c r="U54" s="3">
        <v>81.402777777777644</v>
      </c>
      <c r="V54" s="3"/>
      <c r="W54" s="3"/>
      <c r="X54" s="3"/>
      <c r="Y54" s="3"/>
      <c r="Z54" s="3"/>
      <c r="AA54" s="3"/>
      <c r="AB54" s="3"/>
      <c r="AC54" s="3"/>
      <c r="AD54" s="3">
        <v>3.123333333333334</v>
      </c>
      <c r="AE54" s="3">
        <v>2.1133333333333328</v>
      </c>
      <c r="AF54" s="3">
        <v>1.1400000000000003</v>
      </c>
      <c r="AG54" s="3">
        <v>-8.666666666666667E-2</v>
      </c>
      <c r="AH54" s="3">
        <v>0.76666666666666672</v>
      </c>
      <c r="AI54" s="6">
        <f t="shared" si="2"/>
        <v>4551.0584718040136</v>
      </c>
      <c r="AJ54" s="6">
        <f t="shared" si="3"/>
        <v>5.1609680249036503</v>
      </c>
      <c r="AK54" s="3"/>
      <c r="AL54" s="3">
        <v>1.7800000000000002</v>
      </c>
      <c r="AM54" s="3">
        <v>0.8866666666666666</v>
      </c>
      <c r="AN54" s="3">
        <v>-0.7566666666666666</v>
      </c>
      <c r="AO54" s="3">
        <v>-1.5766666666666667</v>
      </c>
      <c r="AP54" s="3">
        <v>-1.5766666666666667</v>
      </c>
      <c r="AQ54" s="3"/>
      <c r="AR54" s="3">
        <v>62.926666666666655</v>
      </c>
      <c r="AS54" s="3">
        <v>64.533333333333331</v>
      </c>
      <c r="AT54" s="3">
        <v>69.27</v>
      </c>
      <c r="AU54" s="3">
        <v>74.78</v>
      </c>
      <c r="AV54" s="3">
        <v>62.939999999999991</v>
      </c>
      <c r="AW54">
        <v>7548.508193867</v>
      </c>
      <c r="AX54">
        <v>2.6210097895371498</v>
      </c>
      <c r="AY54" s="20">
        <v>40483</v>
      </c>
      <c r="AZ54">
        <v>4977.8671742796569</v>
      </c>
      <c r="BA54" s="29">
        <v>-1.64</v>
      </c>
      <c r="BB54" s="29">
        <v>-1.64</v>
      </c>
      <c r="BC54" s="30">
        <v>2.1</v>
      </c>
      <c r="BD54">
        <v>27.11</v>
      </c>
      <c r="BE54">
        <v>25.06</v>
      </c>
      <c r="BF54">
        <v>20.34</v>
      </c>
      <c r="BG54" s="9"/>
      <c r="BH54" s="9"/>
      <c r="BI54" s="9"/>
      <c r="BJ54" s="9"/>
    </row>
    <row r="55" spans="1:62" ht="15" thickBot="1">
      <c r="A55" s="20">
        <v>40513</v>
      </c>
      <c r="B55" s="3"/>
      <c r="C55" s="3">
        <v>6.2731182795698901</v>
      </c>
      <c r="D55" s="3">
        <v>5.1231182795699173</v>
      </c>
      <c r="E55" s="3">
        <v>3.3794354838709686</v>
      </c>
      <c r="F55" s="3">
        <v>2.2993279569892455</v>
      </c>
      <c r="G55" s="3">
        <v>3.5658602150537635</v>
      </c>
      <c r="H55" s="6">
        <f t="shared" si="0"/>
        <v>4884.6885557085661</v>
      </c>
      <c r="I55" s="6">
        <f t="shared" si="1"/>
        <v>6.6718600774515675</v>
      </c>
      <c r="K55" s="3">
        <v>4.6173387096774228</v>
      </c>
      <c r="L55" s="3">
        <v>3.7282258064516118</v>
      </c>
      <c r="M55" s="3">
        <v>1.9073924731182823</v>
      </c>
      <c r="N55" s="3">
        <v>2.0018817204301076</v>
      </c>
      <c r="O55" s="3">
        <v>1.7427419354838694</v>
      </c>
      <c r="Q55" s="3">
        <v>89.752016129032114</v>
      </c>
      <c r="R55" s="3">
        <v>91.222043010752515</v>
      </c>
      <c r="S55" s="3">
        <v>90.508467741935533</v>
      </c>
      <c r="T55" s="3">
        <v>93.832392473118091</v>
      </c>
      <c r="U55" s="3">
        <v>88.57876344085993</v>
      </c>
      <c r="V55" s="3"/>
      <c r="W55" s="3"/>
      <c r="X55" s="3"/>
      <c r="Y55" s="3"/>
      <c r="Z55" s="3"/>
      <c r="AA55" s="3"/>
      <c r="AB55" s="3"/>
      <c r="AC55" s="3"/>
      <c r="AD55" s="3">
        <v>3.7032258064516133</v>
      </c>
      <c r="AE55" s="3">
        <v>2.7483870967741932</v>
      </c>
      <c r="AF55" s="3">
        <v>1.3709677419354838</v>
      </c>
      <c r="AG55" s="3">
        <v>0.15161290322580639</v>
      </c>
      <c r="AH55" s="3">
        <v>0.77419354838709675</v>
      </c>
      <c r="AI55" s="6">
        <f t="shared" si="2"/>
        <v>4587.1543638564353</v>
      </c>
      <c r="AJ55" s="6">
        <f t="shared" si="3"/>
        <v>5.8776216821854792</v>
      </c>
      <c r="AK55" s="3"/>
      <c r="AL55" s="3">
        <v>2.7774193548387092</v>
      </c>
      <c r="AM55" s="3">
        <v>2.0225806451612898</v>
      </c>
      <c r="AN55" s="3">
        <v>0.26129032258064516</v>
      </c>
      <c r="AO55" s="3">
        <v>-0.45806451612903232</v>
      </c>
      <c r="AP55" s="3">
        <v>-0.45806451612903232</v>
      </c>
      <c r="AQ55" s="3"/>
      <c r="AR55" s="3">
        <v>75.525806451612894</v>
      </c>
      <c r="AS55" s="3">
        <v>76.680645161290329</v>
      </c>
      <c r="AT55" s="3">
        <v>80.319354838709685</v>
      </c>
      <c r="AU55" s="3">
        <v>82.787096774193543</v>
      </c>
      <c r="AV55" s="3">
        <v>73.06451612903227</v>
      </c>
      <c r="AW55">
        <v>8039.2599573710004</v>
      </c>
      <c r="AX55">
        <v>2.70136423298757</v>
      </c>
      <c r="AY55" s="20">
        <v>40513</v>
      </c>
      <c r="AZ55">
        <v>4884.6885557085661</v>
      </c>
      <c r="BA55" s="29">
        <v>-1.59</v>
      </c>
      <c r="BB55" s="29">
        <v>-1.59</v>
      </c>
      <c r="BC55" s="30">
        <v>4.8</v>
      </c>
      <c r="BD55">
        <v>27.09</v>
      </c>
      <c r="BE55">
        <v>25</v>
      </c>
      <c r="BF55">
        <v>21.91</v>
      </c>
      <c r="BG55" s="9"/>
      <c r="BH55" s="9"/>
      <c r="BI55" s="9"/>
      <c r="BJ55" s="9"/>
    </row>
    <row r="56" spans="1:62" ht="15" thickBot="1">
      <c r="A56" s="20">
        <v>40544</v>
      </c>
      <c r="B56" s="3"/>
      <c r="C56" s="3">
        <v>7.0448924731182645</v>
      </c>
      <c r="D56" s="3">
        <v>5.7298387096774475</v>
      </c>
      <c r="E56" s="3">
        <v>3.9100806451612904</v>
      </c>
      <c r="F56" s="3">
        <v>2.7169354838709654</v>
      </c>
      <c r="G56" s="3">
        <v>4.282258064516129</v>
      </c>
      <c r="H56" s="6">
        <f t="shared" si="0"/>
        <v>4916.7397372236837</v>
      </c>
      <c r="I56" s="6">
        <f t="shared" si="1"/>
        <v>7.2205259029774673</v>
      </c>
      <c r="K56" s="3">
        <v>4.5975806451612966</v>
      </c>
      <c r="L56" s="3">
        <v>3.5810483870967769</v>
      </c>
      <c r="M56" s="3">
        <v>1.8946236559139766</v>
      </c>
      <c r="N56" s="3">
        <v>1.8696236559139794</v>
      </c>
      <c r="O56" s="3">
        <v>1.6077956989247315</v>
      </c>
      <c r="Q56" s="3">
        <v>85.429032258064481</v>
      </c>
      <c r="R56" s="3">
        <v>86.856854838709623</v>
      </c>
      <c r="S56" s="3">
        <v>87.257526881720437</v>
      </c>
      <c r="T56" s="3">
        <v>91.287903225806289</v>
      </c>
      <c r="U56" s="3">
        <v>83.917473118279531</v>
      </c>
      <c r="V56" s="3"/>
      <c r="W56" s="3"/>
      <c r="X56" s="3"/>
      <c r="Y56" s="3"/>
      <c r="Z56" s="3"/>
      <c r="AA56" s="3"/>
      <c r="AB56" s="3"/>
      <c r="AC56" s="3"/>
      <c r="AD56" s="3">
        <v>3.8225806451612914</v>
      </c>
      <c r="AE56" s="3">
        <v>2.6548387096774189</v>
      </c>
      <c r="AF56" s="3">
        <v>1.267741935483871</v>
      </c>
      <c r="AG56" s="3">
        <v>5.1612903225806479E-2</v>
      </c>
      <c r="AH56" s="3">
        <v>0.64516129032258063</v>
      </c>
      <c r="AI56" s="6">
        <f t="shared" si="2"/>
        <v>4562.5611922348508</v>
      </c>
      <c r="AJ56" s="6">
        <f t="shared" si="3"/>
        <v>6.1884218620183891</v>
      </c>
      <c r="AK56" s="3"/>
      <c r="AL56" s="3">
        <v>2.7387096774193549</v>
      </c>
      <c r="AM56" s="3">
        <v>1.6129032258064517</v>
      </c>
      <c r="AN56" s="3">
        <v>-3.8709677419354813E-2</v>
      </c>
      <c r="AO56" s="3">
        <v>-1.0774193548387097</v>
      </c>
      <c r="AP56" s="3">
        <v>-1.0774193548387097</v>
      </c>
      <c r="AQ56" s="3"/>
      <c r="AR56" s="3">
        <v>66.48387096774195</v>
      </c>
      <c r="AS56" s="3">
        <v>67.774193548387089</v>
      </c>
      <c r="AT56" s="3">
        <v>73.670967741935485</v>
      </c>
      <c r="AU56" s="3">
        <v>76.848387096774189</v>
      </c>
      <c r="AV56" s="3">
        <v>65.996774193548376</v>
      </c>
      <c r="AW56">
        <v>8842.6061714160005</v>
      </c>
      <c r="AX56">
        <v>2.9713058371693499</v>
      </c>
      <c r="AY56" s="20">
        <v>40544</v>
      </c>
      <c r="AZ56">
        <v>4916.7397372236837</v>
      </c>
      <c r="BA56" s="29">
        <v>-1.42</v>
      </c>
      <c r="BB56" s="29">
        <v>-1.42</v>
      </c>
      <c r="BC56" s="30">
        <v>3.8</v>
      </c>
      <c r="BD56">
        <v>26.92</v>
      </c>
      <c r="BE56">
        <v>25</v>
      </c>
      <c r="BF56">
        <v>24.08</v>
      </c>
      <c r="BG56" s="9"/>
      <c r="BH56" s="9"/>
      <c r="BI56" s="9"/>
      <c r="BJ56" s="9"/>
    </row>
    <row r="57" spans="1:62" ht="15" thickBot="1">
      <c r="A57" s="20">
        <v>40575</v>
      </c>
      <c r="B57" s="3"/>
      <c r="C57" s="3">
        <v>6.5208333333333357</v>
      </c>
      <c r="D57" s="3">
        <v>5.3072916666666616</v>
      </c>
      <c r="E57" s="3">
        <v>3.4976190476190383</v>
      </c>
      <c r="F57" s="3">
        <v>2.3861607142857175</v>
      </c>
      <c r="G57" s="3">
        <v>3.7770833333333296</v>
      </c>
      <c r="H57" s="6">
        <f t="shared" si="0"/>
        <v>4882.8248451163672</v>
      </c>
      <c r="I57" s="6">
        <f t="shared" si="1"/>
        <v>6.9381028497054205</v>
      </c>
      <c r="K57" s="3">
        <v>3.8422619047618989</v>
      </c>
      <c r="L57" s="3">
        <v>2.8619047619047633</v>
      </c>
      <c r="M57" s="3">
        <v>0.92306547619047896</v>
      </c>
      <c r="N57" s="3">
        <v>0.82589285714285665</v>
      </c>
      <c r="O57" s="3">
        <v>0.58705357142857284</v>
      </c>
      <c r="Q57" s="3">
        <v>84.282589285714408</v>
      </c>
      <c r="R57" s="3">
        <v>85.515327380952499</v>
      </c>
      <c r="S57" s="3">
        <v>84.890773809523665</v>
      </c>
      <c r="T57" s="3">
        <v>88.316220238095084</v>
      </c>
      <c r="U57" s="3">
        <v>81.749851190476122</v>
      </c>
      <c r="V57" s="3"/>
      <c r="W57" s="3"/>
      <c r="X57" s="3"/>
      <c r="Y57" s="3"/>
      <c r="Z57" s="3"/>
      <c r="AA57" s="3"/>
      <c r="AB57" s="3"/>
      <c r="AC57" s="3"/>
      <c r="AD57" s="3">
        <v>3.3821428571428571</v>
      </c>
      <c r="AE57" s="3">
        <v>2.3464285714285715</v>
      </c>
      <c r="AF57" s="3">
        <v>1.110714285714286</v>
      </c>
      <c r="AG57" s="3">
        <v>0.17857142857142858</v>
      </c>
      <c r="AH57" s="3">
        <v>0.65714285714285692</v>
      </c>
      <c r="AI57" s="6">
        <f t="shared" si="2"/>
        <v>4578.8228263884494</v>
      </c>
      <c r="AJ57" s="6">
        <f t="shared" si="3"/>
        <v>5.2824800865348474</v>
      </c>
      <c r="AK57" s="3"/>
      <c r="AL57" s="3">
        <v>1.7928571428571429</v>
      </c>
      <c r="AM57" s="3">
        <v>0.7142857142857143</v>
      </c>
      <c r="AN57" s="3">
        <v>-1.4250000000000003</v>
      </c>
      <c r="AO57" s="3">
        <v>-2.1714285714285717</v>
      </c>
      <c r="AP57" s="3">
        <v>-2.1714285714285717</v>
      </c>
      <c r="AQ57" s="3"/>
      <c r="AR57" s="3">
        <v>68.185714285714297</v>
      </c>
      <c r="AS57" s="3">
        <v>68.271428571428572</v>
      </c>
      <c r="AT57" s="3">
        <v>74.56785714285715</v>
      </c>
      <c r="AU57" s="3">
        <v>77.714285714285694</v>
      </c>
      <c r="AV57" s="3">
        <v>67.082142857142841</v>
      </c>
      <c r="AW57">
        <v>7851.7527474489998</v>
      </c>
      <c r="AX57">
        <v>2.92103896854502</v>
      </c>
      <c r="AY57" s="20">
        <v>40575</v>
      </c>
      <c r="AZ57">
        <v>4882.8248451163672</v>
      </c>
      <c r="BA57" s="29">
        <v>-1.19</v>
      </c>
      <c r="BB57" s="29">
        <v>-1.19</v>
      </c>
      <c r="BC57" s="30">
        <v>4.5</v>
      </c>
      <c r="BD57">
        <v>27.15</v>
      </c>
      <c r="BE57">
        <v>25.64</v>
      </c>
      <c r="BF57">
        <v>25.94</v>
      </c>
      <c r="BG57" s="9"/>
      <c r="BH57" s="9"/>
      <c r="BI57" s="9"/>
      <c r="BJ57" s="9"/>
    </row>
    <row r="58" spans="1:62" ht="15" thickBot="1">
      <c r="A58" s="20">
        <v>40603</v>
      </c>
      <c r="B58" s="3"/>
      <c r="C58" s="3">
        <v>6.43010752688172</v>
      </c>
      <c r="D58" s="3">
        <v>5.1747311827956999</v>
      </c>
      <c r="E58" s="3">
        <v>3.4142473118279502</v>
      </c>
      <c r="F58" s="3">
        <v>2.2462365591397822</v>
      </c>
      <c r="G58" s="3">
        <v>3.4775537634408615</v>
      </c>
      <c r="H58" s="6">
        <f t="shared" si="0"/>
        <v>4863.7367882493991</v>
      </c>
      <c r="I58" s="6">
        <f t="shared" si="1"/>
        <v>6.9822407850701582</v>
      </c>
      <c r="K58" s="3">
        <v>4.2181451612903249</v>
      </c>
      <c r="L58" s="3">
        <v>3.1965053763440823</v>
      </c>
      <c r="M58" s="3">
        <v>1.4126344086021505</v>
      </c>
      <c r="N58" s="3">
        <v>1.3197580645161293</v>
      </c>
      <c r="O58" s="3">
        <v>1.0466397849462363</v>
      </c>
      <c r="Q58" s="3">
        <v>86.626612903225691</v>
      </c>
      <c r="R58" s="3">
        <v>87.818413978494434</v>
      </c>
      <c r="S58" s="3">
        <v>87.627016129032228</v>
      </c>
      <c r="T58" s="3">
        <v>90.9235215053763</v>
      </c>
      <c r="U58" s="3">
        <v>85.151747311827961</v>
      </c>
      <c r="V58" s="3"/>
      <c r="W58" s="3"/>
      <c r="X58" s="3"/>
      <c r="Y58" s="3"/>
      <c r="Z58" s="3"/>
      <c r="AA58" s="3"/>
      <c r="AB58" s="3"/>
      <c r="AC58" s="3"/>
      <c r="AD58" s="3">
        <v>3.306451612903226</v>
      </c>
      <c r="AE58" s="3">
        <v>2.3354838709677419</v>
      </c>
      <c r="AF58" s="3">
        <v>1.1129032258064515</v>
      </c>
      <c r="AG58" s="3">
        <v>3.2258064516129129E-2</v>
      </c>
      <c r="AH58" s="3">
        <v>0.64193548387096766</v>
      </c>
      <c r="AI58" s="6">
        <f t="shared" si="2"/>
        <v>4562.8662073287442</v>
      </c>
      <c r="AJ58" s="6">
        <f t="shared" si="3"/>
        <v>5.3863143723209328</v>
      </c>
      <c r="AK58" s="3"/>
      <c r="AL58" s="3">
        <v>2.1258064516129034</v>
      </c>
      <c r="AM58" s="3">
        <v>1.1709677419354838</v>
      </c>
      <c r="AN58" s="3">
        <v>-0.79677419354838697</v>
      </c>
      <c r="AO58" s="3">
        <v>-1.5</v>
      </c>
      <c r="AP58" s="3">
        <v>-1.5064516129032259</v>
      </c>
      <c r="AQ58" s="3"/>
      <c r="AR58" s="3">
        <v>68.006451612903234</v>
      </c>
      <c r="AS58" s="3">
        <v>70.809677419354855</v>
      </c>
      <c r="AT58" s="3">
        <v>75.758064516129039</v>
      </c>
      <c r="AU58" s="3">
        <v>77.751612903225819</v>
      </c>
      <c r="AV58" s="3">
        <v>70.209677419354833</v>
      </c>
      <c r="AW58">
        <v>8102.814787495</v>
      </c>
      <c r="AX58">
        <v>2.7227200226797699</v>
      </c>
      <c r="AY58" s="20">
        <v>40603</v>
      </c>
      <c r="AZ58">
        <v>4863.7367882493991</v>
      </c>
      <c r="BA58" s="29">
        <v>-0.93</v>
      </c>
      <c r="BB58" s="29">
        <v>-0.93</v>
      </c>
      <c r="BC58" s="30">
        <v>4.2</v>
      </c>
      <c r="BD58">
        <v>27.51</v>
      </c>
      <c r="BE58">
        <v>26.36</v>
      </c>
      <c r="BF58">
        <v>25.61</v>
      </c>
      <c r="BG58" s="9"/>
      <c r="BH58" s="9"/>
      <c r="BI58" s="9"/>
      <c r="BJ58" s="9"/>
    </row>
    <row r="59" spans="1:62" ht="15" thickBot="1">
      <c r="A59" s="20">
        <v>40634</v>
      </c>
      <c r="B59" s="3"/>
      <c r="C59" s="3">
        <v>7.3111111111111109</v>
      </c>
      <c r="D59" s="3">
        <v>5.8076388888888886</v>
      </c>
      <c r="E59" s="3">
        <v>4.0318055555555494</v>
      </c>
      <c r="F59" s="3">
        <v>2.8156944444444481</v>
      </c>
      <c r="G59" s="3">
        <v>4.0243055555555518</v>
      </c>
      <c r="H59" s="6">
        <f t="shared" si="0"/>
        <v>4915.1520744906875</v>
      </c>
      <c r="I59" s="6">
        <f t="shared" si="1"/>
        <v>7.4293798841165319</v>
      </c>
      <c r="K59" s="3">
        <v>4.6588888888888862</v>
      </c>
      <c r="L59" s="3">
        <v>3.7461111111111101</v>
      </c>
      <c r="M59" s="3">
        <v>2.1149999999999967</v>
      </c>
      <c r="N59" s="3">
        <v>1.9501388888888889</v>
      </c>
      <c r="O59" s="3">
        <v>1.7172222222222226</v>
      </c>
      <c r="Q59" s="3">
        <v>84.303611111111096</v>
      </c>
      <c r="R59" s="3">
        <v>87.348055555555447</v>
      </c>
      <c r="S59" s="3">
        <v>87.950972222222234</v>
      </c>
      <c r="T59" s="3">
        <v>91.716388888888773</v>
      </c>
      <c r="U59" s="3">
        <v>85.673055555555479</v>
      </c>
      <c r="V59" s="3"/>
      <c r="W59" s="3"/>
      <c r="X59" s="3"/>
      <c r="Y59" s="3"/>
      <c r="Z59" s="3"/>
      <c r="AA59" s="3"/>
      <c r="AB59" s="3"/>
      <c r="AC59" s="3"/>
      <c r="AD59" s="3">
        <v>3.95</v>
      </c>
      <c r="AE59" s="3">
        <v>2.8800000000000003</v>
      </c>
      <c r="AF59" s="3">
        <v>1.5866666666666669</v>
      </c>
      <c r="AG59" s="3">
        <v>0.30333333333333334</v>
      </c>
      <c r="AH59" s="3">
        <v>1.0433333333333332</v>
      </c>
      <c r="AI59" s="6">
        <f t="shared" si="2"/>
        <v>4613.1787720426728</v>
      </c>
      <c r="AJ59" s="6">
        <f t="shared" si="3"/>
        <v>5.9653647985762115</v>
      </c>
      <c r="AK59" s="3"/>
      <c r="AL59" s="3">
        <v>2.7433333333333323</v>
      </c>
      <c r="AM59" s="3">
        <v>1.8966666666666669</v>
      </c>
      <c r="AN59" s="3">
        <v>0.40666666666666668</v>
      </c>
      <c r="AO59" s="3">
        <v>-0.35</v>
      </c>
      <c r="AP59" s="3">
        <v>-0.35</v>
      </c>
      <c r="AQ59" s="3"/>
      <c r="AR59" s="3">
        <v>63.263333333333321</v>
      </c>
      <c r="AS59" s="3">
        <v>66.696666666666687</v>
      </c>
      <c r="AT59" s="3">
        <v>73.059999999999988</v>
      </c>
      <c r="AU59" s="3">
        <v>78.556666666666658</v>
      </c>
      <c r="AV59" s="3">
        <v>68.833333333333329</v>
      </c>
      <c r="AW59">
        <v>9416.7965355960005</v>
      </c>
      <c r="AX59">
        <v>3.2697210193041699</v>
      </c>
      <c r="AY59" s="20">
        <v>40634</v>
      </c>
      <c r="AZ59">
        <v>4915.1520744906875</v>
      </c>
      <c r="BA59" s="29">
        <v>-0.73</v>
      </c>
      <c r="BB59" s="29">
        <v>-0.73</v>
      </c>
      <c r="BC59" s="30">
        <v>3.1</v>
      </c>
      <c r="BD59">
        <v>27.89</v>
      </c>
      <c r="BE59">
        <v>27.05</v>
      </c>
      <c r="BF59">
        <v>25.34</v>
      </c>
      <c r="BG59" s="9"/>
      <c r="BH59" s="9"/>
      <c r="BI59" s="9"/>
      <c r="BJ59" s="9"/>
    </row>
    <row r="60" spans="1:62" ht="15" thickBot="1">
      <c r="A60" s="20">
        <v>40664</v>
      </c>
      <c r="B60" s="3"/>
      <c r="C60" s="3">
        <v>8.240591397849462</v>
      </c>
      <c r="D60" s="3">
        <v>6.4204301075268795</v>
      </c>
      <c r="E60" s="3">
        <v>4.8701612903225682</v>
      </c>
      <c r="F60" s="3">
        <v>3.4541666666666666</v>
      </c>
      <c r="G60" s="3">
        <v>4.6779569892473036</v>
      </c>
      <c r="H60" s="6">
        <f t="shared" si="0"/>
        <v>4983.25444556394</v>
      </c>
      <c r="I60" s="6">
        <f t="shared" si="1"/>
        <v>7.7174408604193667</v>
      </c>
      <c r="K60" s="3">
        <v>1.1038978494623668</v>
      </c>
      <c r="L60" s="3">
        <v>0.40134408602150617</v>
      </c>
      <c r="M60" s="3">
        <v>-1.001075268817204</v>
      </c>
      <c r="N60" s="3">
        <v>-1.4760752688172052</v>
      </c>
      <c r="O60" s="3">
        <v>-1.5702956989247328</v>
      </c>
      <c r="Q60" s="3">
        <v>64.326209677419186</v>
      </c>
      <c r="R60" s="3">
        <v>68.830376344086048</v>
      </c>
      <c r="S60" s="3">
        <v>69.139381720430109</v>
      </c>
      <c r="T60" s="3">
        <v>73.073521505376249</v>
      </c>
      <c r="U60" s="3">
        <v>67.617473118279534</v>
      </c>
      <c r="V60" s="3"/>
      <c r="W60" s="3"/>
      <c r="X60" s="3"/>
      <c r="Y60" s="3"/>
      <c r="Z60" s="3"/>
      <c r="AA60" s="3"/>
      <c r="AB60" s="3"/>
      <c r="AC60" s="3"/>
      <c r="AD60" s="3">
        <v>4.0161290322580649</v>
      </c>
      <c r="AE60" s="3">
        <v>2.7967741935483872</v>
      </c>
      <c r="AF60" s="3">
        <v>1.8967741935483875</v>
      </c>
      <c r="AG60" s="3">
        <v>0.75161290322580632</v>
      </c>
      <c r="AH60" s="3">
        <v>1.0516129032258064</v>
      </c>
      <c r="AI60" s="6">
        <f t="shared" si="2"/>
        <v>4698.2479679056332</v>
      </c>
      <c r="AJ60" s="6">
        <f t="shared" si="3"/>
        <v>5.1855959600726811</v>
      </c>
      <c r="AK60" s="3"/>
      <c r="AL60" s="3">
        <v>-1.2999999999999998</v>
      </c>
      <c r="AM60" s="3">
        <v>-1.9258064516129034</v>
      </c>
      <c r="AN60" s="3">
        <v>-3.4387096774193542</v>
      </c>
      <c r="AO60" s="3">
        <v>-4.4612903225806448</v>
      </c>
      <c r="AP60" s="3">
        <v>-4.4612903225806448</v>
      </c>
      <c r="AQ60" s="3"/>
      <c r="AR60" s="3">
        <v>44.267741935483876</v>
      </c>
      <c r="AS60" s="3">
        <v>48.112903225806448</v>
      </c>
      <c r="AT60" s="3">
        <v>53.709677419354833</v>
      </c>
      <c r="AU60" s="3">
        <v>57.987096774193539</v>
      </c>
      <c r="AV60" s="3">
        <v>46.474193548387085</v>
      </c>
      <c r="AW60">
        <v>6712.7407290749998</v>
      </c>
      <c r="AX60">
        <v>2.2556252449848802</v>
      </c>
      <c r="AY60" s="20">
        <v>40664</v>
      </c>
      <c r="AZ60">
        <v>4983.25444556394</v>
      </c>
      <c r="BA60" s="29">
        <v>-0.55000000000000004</v>
      </c>
      <c r="BB60" s="29">
        <v>-0.55000000000000004</v>
      </c>
      <c r="BC60" s="30">
        <v>0.6</v>
      </c>
      <c r="BD60">
        <v>28.35</v>
      </c>
      <c r="BE60">
        <v>27.41</v>
      </c>
      <c r="BF60">
        <v>24.53</v>
      </c>
      <c r="BG60" s="9"/>
      <c r="BH60" s="9"/>
      <c r="BI60" s="9"/>
      <c r="BJ60" s="9"/>
    </row>
    <row r="61" spans="1:62" ht="15" thickBot="1">
      <c r="A61" s="20">
        <v>40695</v>
      </c>
      <c r="B61" s="3"/>
      <c r="C61" s="3">
        <v>8.000694444444445</v>
      </c>
      <c r="D61" s="3">
        <v>6.2212500000000013</v>
      </c>
      <c r="E61" s="3">
        <v>4.8818055555555446</v>
      </c>
      <c r="F61" s="3">
        <v>3.3036111111111102</v>
      </c>
      <c r="G61" s="3">
        <v>4.7984722222222205</v>
      </c>
      <c r="H61" s="6">
        <f t="shared" si="0"/>
        <v>4987.0310042489546</v>
      </c>
      <c r="I61" s="6">
        <f t="shared" si="1"/>
        <v>7.4815507990343484</v>
      </c>
      <c r="K61" s="3">
        <v>0.4369444444444443</v>
      </c>
      <c r="L61" s="3">
        <v>-0.13319444444444464</v>
      </c>
      <c r="M61" s="3">
        <v>-1.1463888888888907</v>
      </c>
      <c r="N61" s="3">
        <v>-1.8148611111111124</v>
      </c>
      <c r="O61" s="3">
        <v>-1.8523611111111111</v>
      </c>
      <c r="Q61" s="3">
        <v>61.386388888888895</v>
      </c>
      <c r="R61" s="3">
        <v>66.010555555555555</v>
      </c>
      <c r="S61" s="3">
        <v>66.875416666666666</v>
      </c>
      <c r="T61" s="3">
        <v>70.629166666666677</v>
      </c>
      <c r="U61" s="3">
        <v>64.937361111111102</v>
      </c>
      <c r="V61" s="3"/>
      <c r="W61" s="3"/>
      <c r="X61" s="3"/>
      <c r="Y61" s="3"/>
      <c r="Z61" s="3"/>
      <c r="AA61" s="3"/>
      <c r="AB61" s="3"/>
      <c r="AC61" s="3"/>
      <c r="AD61" s="3">
        <v>3.1</v>
      </c>
      <c r="AE61" s="3">
        <v>2.23</v>
      </c>
      <c r="AF61" s="3">
        <v>1.7100000000000004</v>
      </c>
      <c r="AG61" s="3">
        <v>0.56000000000000005</v>
      </c>
      <c r="AH61" s="3">
        <v>0.72333333333333327</v>
      </c>
      <c r="AI61" s="6">
        <f t="shared" si="2"/>
        <v>4715.3788676566292</v>
      </c>
      <c r="AJ61" s="6">
        <f t="shared" si="3"/>
        <v>3.9502085332370624</v>
      </c>
      <c r="AK61" s="3"/>
      <c r="AL61" s="3">
        <v>-1.6966666666666663</v>
      </c>
      <c r="AM61" s="3">
        <v>-2.15</v>
      </c>
      <c r="AN61" s="3">
        <v>-3.2066666666666661</v>
      </c>
      <c r="AO61" s="3">
        <v>-4.4633333333333329</v>
      </c>
      <c r="AP61" s="3">
        <v>-4.4633333333333329</v>
      </c>
      <c r="AQ61" s="3"/>
      <c r="AR61" s="3">
        <v>38.53</v>
      </c>
      <c r="AS61" s="3">
        <v>43.186666666666682</v>
      </c>
      <c r="AT61" s="3">
        <v>48.986666666666665</v>
      </c>
      <c r="AU61" s="3">
        <v>53.933333333333323</v>
      </c>
      <c r="AV61" s="3">
        <v>39.496666666666677</v>
      </c>
      <c r="AW61">
        <v>5403.1894650630002</v>
      </c>
      <c r="AX61">
        <v>1.87610745314688</v>
      </c>
      <c r="AY61" s="20">
        <v>40695</v>
      </c>
      <c r="AZ61">
        <v>4987.0310042489546</v>
      </c>
      <c r="BA61" s="22">
        <v>-0.44</v>
      </c>
      <c r="BB61" s="22">
        <v>-0.44</v>
      </c>
      <c r="BC61" s="30">
        <v>0.4</v>
      </c>
      <c r="BD61">
        <v>28.46</v>
      </c>
      <c r="BE61">
        <v>27.35</v>
      </c>
      <c r="BF61">
        <v>23.42</v>
      </c>
      <c r="BG61" s="9"/>
      <c r="BH61" s="9"/>
      <c r="BI61" s="9"/>
      <c r="BJ61" s="9"/>
    </row>
    <row r="62" spans="1:62" ht="15" thickBot="1">
      <c r="A62" s="20">
        <v>40725</v>
      </c>
      <c r="B62" s="3"/>
      <c r="C62" s="3">
        <v>7.553091397849462</v>
      </c>
      <c r="D62" s="3">
        <v>5.6232526881720437</v>
      </c>
      <c r="E62" s="3">
        <v>3.8946236559139784</v>
      </c>
      <c r="F62" s="3">
        <v>2.5064516129032253</v>
      </c>
      <c r="G62" s="3">
        <v>3.678763440860215</v>
      </c>
      <c r="H62" s="6">
        <f t="shared" si="0"/>
        <v>4837.5956204743579</v>
      </c>
      <c r="I62" s="6">
        <f t="shared" si="1"/>
        <v>8.1838511855089244</v>
      </c>
      <c r="K62" s="3">
        <v>-1.2321236559139788</v>
      </c>
      <c r="L62" s="3">
        <v>-1.8623655913978494</v>
      </c>
      <c r="M62" s="3">
        <v>-3.0314516129032234</v>
      </c>
      <c r="N62" s="3">
        <v>-3.8126344086021517</v>
      </c>
      <c r="O62" s="3">
        <v>-3.8348118279569903</v>
      </c>
      <c r="Q62" s="3">
        <v>58.297311827956705</v>
      </c>
      <c r="R62" s="3">
        <v>63.191666666666677</v>
      </c>
      <c r="S62" s="3">
        <v>64.660215053763167</v>
      </c>
      <c r="T62" s="3">
        <v>67.230107526881596</v>
      </c>
      <c r="U62" s="3">
        <v>63.243279569892231</v>
      </c>
      <c r="V62" s="3"/>
      <c r="W62" s="3"/>
      <c r="X62" s="3"/>
      <c r="Y62" s="3"/>
      <c r="Z62" s="3"/>
      <c r="AA62" s="3"/>
      <c r="AB62" s="3"/>
      <c r="AC62" s="3"/>
      <c r="AD62" s="3">
        <v>3.0483870967741935</v>
      </c>
      <c r="AE62" s="3">
        <v>1.6354838709677417</v>
      </c>
      <c r="AF62" s="3">
        <v>0.66774193548387095</v>
      </c>
      <c r="AG62" s="3">
        <v>-0.53548387096774197</v>
      </c>
      <c r="AH62" s="3">
        <v>-0.1064516129032258</v>
      </c>
      <c r="AI62" s="6">
        <f t="shared" si="2"/>
        <v>4456.4620638727838</v>
      </c>
      <c r="AJ62" s="6">
        <f t="shared" si="3"/>
        <v>5.6758612932952799</v>
      </c>
      <c r="AK62" s="3"/>
      <c r="AL62" s="3">
        <v>-3.6870967741935488</v>
      </c>
      <c r="AM62" s="3">
        <v>-4.2064516129032263</v>
      </c>
      <c r="AN62" s="3">
        <v>-5.435483870967742</v>
      </c>
      <c r="AO62" s="3">
        <v>-6.8645161290322587</v>
      </c>
      <c r="AP62" s="3">
        <v>-6.8645161290322587</v>
      </c>
      <c r="AQ62" s="3"/>
      <c r="AR62" s="3">
        <v>37.58387096774193</v>
      </c>
      <c r="AS62" s="3">
        <v>41.177419354838719</v>
      </c>
      <c r="AT62" s="3">
        <v>47.919354838709673</v>
      </c>
      <c r="AU62" s="3">
        <v>51.42903225806451</v>
      </c>
      <c r="AV62" s="3">
        <v>42.42258064516129</v>
      </c>
      <c r="AW62">
        <v>4771.9507228230004</v>
      </c>
      <c r="AX62">
        <v>1.60347806546472</v>
      </c>
      <c r="AY62" s="20">
        <v>40725</v>
      </c>
      <c r="AZ62">
        <v>4837.5956204743579</v>
      </c>
      <c r="BA62" s="34">
        <v>-0.48</v>
      </c>
      <c r="BB62" s="34">
        <v>-0.48</v>
      </c>
      <c r="BC62" s="30">
        <v>1.6</v>
      </c>
      <c r="BD62">
        <v>28.42</v>
      </c>
      <c r="BE62">
        <v>26.87</v>
      </c>
      <c r="BF62">
        <v>22.06</v>
      </c>
      <c r="BG62" s="9"/>
      <c r="BH62" s="9"/>
      <c r="BI62" s="9"/>
      <c r="BJ62" s="9"/>
    </row>
    <row r="63" spans="1:62" ht="15" thickBot="1">
      <c r="A63" s="20">
        <v>40756</v>
      </c>
      <c r="B63" s="3"/>
      <c r="C63" s="3">
        <v>8.6451612903225801</v>
      </c>
      <c r="D63" s="3">
        <v>6.7459677419354822</v>
      </c>
      <c r="E63" s="3">
        <v>4.881720430107527</v>
      </c>
      <c r="F63" s="3">
        <v>3.424193548387096</v>
      </c>
      <c r="G63" s="3">
        <v>4.540994623655914</v>
      </c>
      <c r="H63" s="6">
        <f t="shared" si="0"/>
        <v>4936.7926505220721</v>
      </c>
      <c r="I63" s="6">
        <f t="shared" si="1"/>
        <v>8.5139119715658875</v>
      </c>
      <c r="K63" s="3">
        <v>-0.8885752688172025</v>
      </c>
      <c r="L63" s="3">
        <v>-1.3680107526881737</v>
      </c>
      <c r="M63" s="3">
        <v>-2.1907258064516135</v>
      </c>
      <c r="N63" s="3">
        <v>-2.9479838709677457</v>
      </c>
      <c r="O63" s="3">
        <v>-2.9576612903225845</v>
      </c>
      <c r="Q63" s="3">
        <v>54.496370967741917</v>
      </c>
      <c r="R63" s="3">
        <v>59.688844086021547</v>
      </c>
      <c r="S63" s="3">
        <v>62.690725806451574</v>
      </c>
      <c r="T63" s="3">
        <v>65.463709677419345</v>
      </c>
      <c r="U63" s="3">
        <v>61.823655913978506</v>
      </c>
      <c r="V63" s="3"/>
      <c r="W63" s="3"/>
      <c r="X63" s="3"/>
      <c r="Y63" s="3"/>
      <c r="Z63" s="3"/>
      <c r="AA63" s="3"/>
      <c r="AB63" s="3"/>
      <c r="AC63" s="3"/>
      <c r="AD63" s="3">
        <v>3.5</v>
      </c>
      <c r="AE63" s="3">
        <v>2.0548387096774197</v>
      </c>
      <c r="AF63" s="3">
        <v>1.2741935483870968</v>
      </c>
      <c r="AG63" s="3">
        <v>3.870967741935484E-2</v>
      </c>
      <c r="AH63" s="3">
        <v>0.22580645161290322</v>
      </c>
      <c r="AI63" s="6">
        <f t="shared" si="2"/>
        <v>4557.2990840388102</v>
      </c>
      <c r="AJ63" s="6">
        <f t="shared" si="3"/>
        <v>5.3961825040476201</v>
      </c>
      <c r="AK63" s="3"/>
      <c r="AL63" s="3">
        <v>-3.1516129032258076</v>
      </c>
      <c r="AM63" s="3">
        <v>-3.6580645161290311</v>
      </c>
      <c r="AN63" s="3">
        <v>-4.5741935483870959</v>
      </c>
      <c r="AO63" s="3">
        <v>-6.0483870967741931</v>
      </c>
      <c r="AP63" s="3">
        <v>-6.0483870967741931</v>
      </c>
      <c r="AQ63" s="3"/>
      <c r="AR63" s="3">
        <v>30.819354838709682</v>
      </c>
      <c r="AS63" s="3">
        <v>32.838709677419352</v>
      </c>
      <c r="AT63" s="3">
        <v>40.461290322580638</v>
      </c>
      <c r="AU63" s="3">
        <v>43.751612903225805</v>
      </c>
      <c r="AV63" s="3">
        <v>33.945161290322595</v>
      </c>
      <c r="AW63">
        <v>5913.2065359790004</v>
      </c>
      <c r="AX63">
        <v>1.9869645618209</v>
      </c>
      <c r="AY63" s="20">
        <v>40756</v>
      </c>
      <c r="AZ63">
        <v>4936.7926505220721</v>
      </c>
      <c r="BA63" s="29">
        <v>-0.62</v>
      </c>
      <c r="BB63" s="29">
        <v>-0.62</v>
      </c>
      <c r="BC63" s="30">
        <v>0.7</v>
      </c>
      <c r="BD63">
        <v>28.16</v>
      </c>
      <c r="BE63">
        <v>26.21</v>
      </c>
      <c r="BF63">
        <v>20.79</v>
      </c>
      <c r="BG63" s="9"/>
      <c r="BH63" s="9"/>
      <c r="BI63" s="9"/>
      <c r="BJ63" s="9"/>
    </row>
    <row r="64" spans="1:62" ht="15" thickBot="1">
      <c r="A64" s="20">
        <v>40787</v>
      </c>
      <c r="B64" s="3"/>
      <c r="C64" s="3">
        <v>7.739583333333333</v>
      </c>
      <c r="D64" s="3">
        <v>5.9052777777777781</v>
      </c>
      <c r="E64" s="3">
        <v>4.0715277777777779</v>
      </c>
      <c r="F64" s="3">
        <v>2.8080555555555562</v>
      </c>
      <c r="G64" s="3">
        <v>3.84375</v>
      </c>
      <c r="H64" s="6">
        <f t="shared" si="0"/>
        <v>4874.5184204691941</v>
      </c>
      <c r="I64" s="6">
        <f t="shared" si="1"/>
        <v>8.0753005021476127</v>
      </c>
      <c r="K64" s="3">
        <v>1.9545833333333318</v>
      </c>
      <c r="L64" s="3">
        <v>1.3788888888888886</v>
      </c>
      <c r="M64" s="3">
        <v>0.32541666666666658</v>
      </c>
      <c r="N64" s="3">
        <v>-7.402777777777779E-2</v>
      </c>
      <c r="O64" s="3">
        <v>-8.6666666666666142E-2</v>
      </c>
      <c r="Q64" s="3">
        <v>69.125833333333176</v>
      </c>
      <c r="R64" s="3">
        <v>74.765277777777754</v>
      </c>
      <c r="S64" s="3">
        <v>77.796944444444364</v>
      </c>
      <c r="T64" s="3">
        <v>81.803888888888849</v>
      </c>
      <c r="U64" s="3">
        <v>77.142222222222117</v>
      </c>
      <c r="V64" s="3"/>
      <c r="W64" s="3"/>
      <c r="X64" s="3"/>
      <c r="Y64" s="3"/>
      <c r="Z64" s="3"/>
      <c r="AA64" s="3"/>
      <c r="AB64" s="3"/>
      <c r="AC64" s="3"/>
      <c r="AD64" s="3">
        <v>3.8</v>
      </c>
      <c r="AE64" s="3">
        <v>2.5499999999999994</v>
      </c>
      <c r="AF64" s="3">
        <v>1.3166666666666667</v>
      </c>
      <c r="AG64" s="3">
        <v>0.26</v>
      </c>
      <c r="AH64" s="3">
        <v>0.33333333333333331</v>
      </c>
      <c r="AI64" s="6">
        <f t="shared" si="2"/>
        <v>4589.5666616130748</v>
      </c>
      <c r="AJ64" s="6">
        <f t="shared" si="3"/>
        <v>5.7605367078666267</v>
      </c>
      <c r="AK64" s="3"/>
      <c r="AL64" s="3">
        <v>0.32333333333333336</v>
      </c>
      <c r="AM64" s="3">
        <v>-0.17666666666666669</v>
      </c>
      <c r="AN64" s="3">
        <v>-1.1866666666666668</v>
      </c>
      <c r="AO64" s="3">
        <v>-2.1533333333333338</v>
      </c>
      <c r="AP64" s="3">
        <v>-2.1633333333333336</v>
      </c>
      <c r="AQ64" s="3"/>
      <c r="AR64" s="3">
        <v>45.730000000000004</v>
      </c>
      <c r="AS64" s="3">
        <v>50.703333333333326</v>
      </c>
      <c r="AT64" s="3">
        <v>59.890000000000008</v>
      </c>
      <c r="AU64" s="3">
        <v>64.793333333333322</v>
      </c>
      <c r="AV64" s="3">
        <v>53.089999999999989</v>
      </c>
      <c r="AW64">
        <v>4143.7013481699996</v>
      </c>
      <c r="AX64">
        <v>1.4387851903368101</v>
      </c>
      <c r="AY64" s="20">
        <v>40787</v>
      </c>
      <c r="AZ64">
        <v>4874.5184204691941</v>
      </c>
      <c r="BA64" s="29">
        <v>-0.83</v>
      </c>
      <c r="BB64" s="29">
        <v>-0.83</v>
      </c>
      <c r="BC64" s="30">
        <v>1.7</v>
      </c>
      <c r="BD64">
        <v>28</v>
      </c>
      <c r="BE64">
        <v>25.92</v>
      </c>
      <c r="BF64">
        <v>19.989999999999998</v>
      </c>
      <c r="BG64" s="9"/>
      <c r="BH64" s="9"/>
      <c r="BI64" s="9"/>
      <c r="BJ64" s="9"/>
    </row>
    <row r="65" spans="1:62" ht="15" thickBot="1">
      <c r="A65" s="20">
        <v>40817</v>
      </c>
      <c r="B65" s="3"/>
      <c r="C65" s="3">
        <v>7.2338709677419351</v>
      </c>
      <c r="D65" s="3">
        <v>6.4736363636363627</v>
      </c>
      <c r="E65" s="3">
        <v>4.150537634408602</v>
      </c>
      <c r="F65" s="3">
        <v>2.8197580645161375</v>
      </c>
      <c r="G65" s="3">
        <v>4.356854838709677</v>
      </c>
      <c r="H65" s="6">
        <f t="shared" si="0"/>
        <v>4913.2062260009843</v>
      </c>
      <c r="I65" s="6">
        <f t="shared" si="1"/>
        <v>7.6541214164860651</v>
      </c>
      <c r="K65" s="3">
        <v>-0.24341397849462337</v>
      </c>
      <c r="L65" s="3">
        <v>1.7181818181818183</v>
      </c>
      <c r="M65" s="3">
        <v>-2.5206989247311826</v>
      </c>
      <c r="N65" s="3">
        <v>-3.0190860215053736</v>
      </c>
      <c r="O65" s="3">
        <v>-3.0251344086021534</v>
      </c>
      <c r="Q65" s="3">
        <v>63.783333333333296</v>
      </c>
      <c r="R65" s="3">
        <v>73.365454545454568</v>
      </c>
      <c r="S65" s="3">
        <v>67.495967741935331</v>
      </c>
      <c r="T65" s="3">
        <v>71.41989247311821</v>
      </c>
      <c r="U65" s="3">
        <v>65.634408602150373</v>
      </c>
      <c r="V65" s="3"/>
      <c r="W65" s="3"/>
      <c r="X65" s="3"/>
      <c r="Y65" s="3"/>
      <c r="Z65" s="3"/>
      <c r="AA65" s="3"/>
      <c r="AB65" s="3"/>
      <c r="AC65" s="3"/>
      <c r="AD65" s="3">
        <v>2.661290322580645</v>
      </c>
      <c r="AE65" s="3">
        <v>1.8</v>
      </c>
      <c r="AF65" s="3">
        <v>0.91935483870967738</v>
      </c>
      <c r="AG65" s="3">
        <v>-0.17741935483870966</v>
      </c>
      <c r="AH65" s="3">
        <v>0.43548387096774194</v>
      </c>
      <c r="AI65" s="6">
        <f t="shared" si="2"/>
        <v>4530.8813712176052</v>
      </c>
      <c r="AJ65" s="6">
        <f t="shared" si="3"/>
        <v>4.5770049852453036</v>
      </c>
      <c r="AK65" s="3"/>
      <c r="AL65" s="3">
        <v>-2.4903225806451621</v>
      </c>
      <c r="AM65" s="3">
        <v>-0.33999999999999997</v>
      </c>
      <c r="AN65" s="3">
        <v>-5.3774193548387101</v>
      </c>
      <c r="AO65" s="3">
        <v>-6.5967741935483861</v>
      </c>
      <c r="AP65" s="3">
        <v>-6.6096774193548375</v>
      </c>
      <c r="AQ65" s="3"/>
      <c r="AR65" s="3">
        <v>42.141935483870967</v>
      </c>
      <c r="AS65" s="3">
        <v>47.320000000000007</v>
      </c>
      <c r="AT65" s="3">
        <v>51.396774193548403</v>
      </c>
      <c r="AU65" s="3">
        <v>55.029032258064518</v>
      </c>
      <c r="AV65" s="3">
        <v>47.035483870967752</v>
      </c>
      <c r="AW65">
        <v>5224.0980444429997</v>
      </c>
      <c r="AX65">
        <v>1.7554092891273501</v>
      </c>
      <c r="AY65" s="20">
        <v>40817</v>
      </c>
      <c r="AZ65">
        <v>4913.2062260009843</v>
      </c>
      <c r="BA65" s="29">
        <v>-1.01</v>
      </c>
      <c r="BB65" s="29">
        <v>-1.01</v>
      </c>
      <c r="BC65" s="30">
        <v>1.2</v>
      </c>
      <c r="BD65">
        <v>27.86</v>
      </c>
      <c r="BE65">
        <v>25.67</v>
      </c>
      <c r="BF65">
        <v>20.239999999999998</v>
      </c>
      <c r="BG65" s="9"/>
      <c r="BH65" s="9"/>
      <c r="BI65" s="9"/>
      <c r="BJ65" s="9"/>
    </row>
    <row r="66" spans="1:62" ht="15" thickBot="1">
      <c r="A66" s="20">
        <v>40848</v>
      </c>
      <c r="B66" s="3"/>
      <c r="C66" s="3">
        <v>7.5993055555555555</v>
      </c>
      <c r="E66" s="3">
        <v>4.3916666666666666</v>
      </c>
      <c r="F66" s="3">
        <v>3.1395833333333392</v>
      </c>
      <c r="G66" s="3">
        <v>4.7125000000000004</v>
      </c>
      <c r="H66" s="6">
        <f t="shared" si="0"/>
        <v>4963.2783700396194</v>
      </c>
      <c r="I66" s="6">
        <f t="shared" si="1"/>
        <v>7.4603724730804126</v>
      </c>
      <c r="K66" s="3">
        <v>4.2305555555555578</v>
      </c>
      <c r="M66" s="3">
        <v>1.7279166666666665</v>
      </c>
      <c r="N66" s="3">
        <v>1.6773611111111115</v>
      </c>
      <c r="O66" s="3">
        <v>1.566111111111111</v>
      </c>
      <c r="Q66" s="3">
        <v>81.611388888888811</v>
      </c>
      <c r="S66" s="3">
        <v>84.412083333333214</v>
      </c>
      <c r="T66" s="3">
        <v>88.822916666666501</v>
      </c>
      <c r="U66" s="3">
        <v>81.999999999999915</v>
      </c>
      <c r="V66" s="3"/>
      <c r="W66" s="3"/>
      <c r="X66" s="3"/>
      <c r="Y66" s="3"/>
      <c r="Z66" s="3"/>
      <c r="AA66" s="3"/>
      <c r="AB66" s="3"/>
      <c r="AC66" s="3"/>
      <c r="AD66" s="3">
        <v>3.5166666666666666</v>
      </c>
      <c r="AE66" s="3"/>
      <c r="AF66" s="3">
        <v>1.5</v>
      </c>
      <c r="AG66" s="3">
        <v>0.39666666666666667</v>
      </c>
      <c r="AH66" s="3">
        <v>1.0166666666666666</v>
      </c>
      <c r="AI66" s="6">
        <f t="shared" si="2"/>
        <v>4640.8821453566743</v>
      </c>
      <c r="AJ66" s="6">
        <f t="shared" si="3"/>
        <v>5.1411847548631284</v>
      </c>
      <c r="AK66" s="3"/>
      <c r="AL66" s="3">
        <v>1.9033333333333335</v>
      </c>
      <c r="AM66" s="3"/>
      <c r="AN66" s="3">
        <v>-0.37000000000000005</v>
      </c>
      <c r="AO66" s="3">
        <v>-1.1733333333333336</v>
      </c>
      <c r="AP66" s="3">
        <v>-1.1733333333333336</v>
      </c>
      <c r="AQ66" s="3"/>
      <c r="AR66" s="3">
        <v>56.916666666666657</v>
      </c>
      <c r="AS66" s="3"/>
      <c r="AT66" s="3">
        <v>66.97</v>
      </c>
      <c r="AU66" s="3">
        <v>73.113333333333358</v>
      </c>
      <c r="AV66" s="3">
        <v>61.969999999999992</v>
      </c>
      <c r="AW66">
        <v>6734.4278416079997</v>
      </c>
      <c r="AX66">
        <v>2.3383430005583299</v>
      </c>
      <c r="AY66" s="20">
        <v>40848</v>
      </c>
      <c r="AZ66">
        <v>4963.2783700396194</v>
      </c>
      <c r="BA66" s="29">
        <v>-1.0900000000000001</v>
      </c>
      <c r="BB66" s="29">
        <v>-1.0900000000000001</v>
      </c>
      <c r="BC66" s="30">
        <v>1.8</v>
      </c>
      <c r="BD66">
        <v>27.8</v>
      </c>
      <c r="BE66">
        <v>25.52</v>
      </c>
      <c r="BF66">
        <v>21.09</v>
      </c>
      <c r="BG66" s="9"/>
      <c r="BH66" s="9"/>
      <c r="BI66" s="9"/>
      <c r="BJ66" s="9"/>
    </row>
    <row r="67" spans="1:62" ht="15" thickBot="1">
      <c r="A67" s="20">
        <v>40878</v>
      </c>
      <c r="B67" s="3"/>
      <c r="C67" s="3">
        <v>7.114247311827957</v>
      </c>
      <c r="E67" s="3">
        <v>4.000672043010753</v>
      </c>
      <c r="F67" s="3">
        <v>2.8650537634408657</v>
      </c>
      <c r="G67" s="3">
        <v>4.457661290322581</v>
      </c>
      <c r="H67" s="6">
        <f t="shared" si="0"/>
        <v>4939.7423818432353</v>
      </c>
      <c r="I67" s="6">
        <f t="shared" si="1"/>
        <v>7.1278830237002007</v>
      </c>
      <c r="K67" s="3">
        <v>4.702150537634405</v>
      </c>
      <c r="M67" s="3">
        <v>2.1229838709677407</v>
      </c>
      <c r="N67" s="3">
        <v>1.9954301075268797</v>
      </c>
      <c r="O67" s="3">
        <v>1.8978494623655899</v>
      </c>
      <c r="Q67" s="3">
        <v>85.782258064515972</v>
      </c>
      <c r="S67" s="3">
        <v>88.250672043010681</v>
      </c>
      <c r="T67" s="3">
        <v>91.662903225806403</v>
      </c>
      <c r="U67" s="3">
        <v>84.699462365591344</v>
      </c>
      <c r="V67" s="3"/>
      <c r="W67" s="3"/>
      <c r="X67" s="3"/>
      <c r="Y67" s="3"/>
      <c r="Z67" s="3"/>
      <c r="AA67" s="3"/>
      <c r="AB67" s="3"/>
      <c r="AC67" s="3"/>
      <c r="AD67" s="3">
        <v>3.7096774193548385</v>
      </c>
      <c r="AE67" s="3"/>
      <c r="AF67" s="3">
        <v>1.4193548387096775</v>
      </c>
      <c r="AG67" s="3">
        <v>0.3387096774193547</v>
      </c>
      <c r="AH67" s="3">
        <v>1.0806451612903225</v>
      </c>
      <c r="AI67" s="6">
        <f t="shared" si="2"/>
        <v>4615.734480639213</v>
      </c>
      <c r="AJ67" s="6">
        <f t="shared" si="3"/>
        <v>5.5929878957724641</v>
      </c>
      <c r="AK67" s="3"/>
      <c r="AL67" s="3">
        <v>2.645161290322581</v>
      </c>
      <c r="AM67" s="3"/>
      <c r="AN67" s="3">
        <v>4.5161290322580698E-2</v>
      </c>
      <c r="AO67" s="3">
        <v>-0.68064516129032238</v>
      </c>
      <c r="AP67" s="3">
        <v>-0.68064516129032238</v>
      </c>
      <c r="AQ67" s="3"/>
      <c r="AR67" s="3">
        <v>64.003225806451624</v>
      </c>
      <c r="AS67" s="3"/>
      <c r="AT67" s="3">
        <v>74.338709677419374</v>
      </c>
      <c r="AU67" s="3">
        <v>77.854838709677438</v>
      </c>
      <c r="AV67" s="3">
        <v>65.125806451612917</v>
      </c>
      <c r="AW67">
        <v>8881.8088897319994</v>
      </c>
      <c r="AX67">
        <v>2.9844787935927402</v>
      </c>
      <c r="AY67" s="20">
        <v>40878</v>
      </c>
      <c r="AZ67">
        <v>4939.7423818432353</v>
      </c>
      <c r="BA67" s="29">
        <v>-1.04</v>
      </c>
      <c r="BB67" s="29">
        <v>-1.04</v>
      </c>
      <c r="BC67" s="30">
        <v>4.0999999999999996</v>
      </c>
      <c r="BD67">
        <v>27.53</v>
      </c>
      <c r="BE67">
        <v>25.54</v>
      </c>
      <c r="BF67">
        <v>22.13</v>
      </c>
      <c r="BG67" s="9"/>
      <c r="BH67" s="9"/>
      <c r="BI67" s="9"/>
      <c r="BJ67" s="9"/>
    </row>
    <row r="68" spans="1:62" ht="15" thickBot="1">
      <c r="A68" s="20">
        <v>40909</v>
      </c>
      <c r="B68" s="3">
        <v>8.413636363636364</v>
      </c>
      <c r="C68" s="3">
        <v>7.5422043010752695</v>
      </c>
      <c r="D68" s="3">
        <v>5.6688073394495424</v>
      </c>
      <c r="E68" s="3">
        <v>4.2868279569892467</v>
      </c>
      <c r="F68" s="3">
        <v>3.145295698924734</v>
      </c>
      <c r="G68" s="3">
        <v>4.7481182795698897</v>
      </c>
      <c r="H68" s="6">
        <f t="shared" ref="H68:H131" si="4">INTERCEPT($C$2:$F$2,C68:F68)</f>
        <v>4960.1350274249926</v>
      </c>
      <c r="I68" s="6">
        <f t="shared" ref="I68:I131" si="5">-SLOPE(C68:F68,$C$2:$F$2)*1000</f>
        <v>7.049813961387291</v>
      </c>
      <c r="J68" s="3">
        <v>6.1199999999999983</v>
      </c>
      <c r="K68" s="3">
        <v>5.3413978494623695</v>
      </c>
      <c r="L68" s="3">
        <v>4.5000000000000009</v>
      </c>
      <c r="M68" s="3">
        <v>2.5923387096774233</v>
      </c>
      <c r="N68" s="3">
        <v>2.6096774193548393</v>
      </c>
      <c r="O68" s="3">
        <v>2.4077956989247302</v>
      </c>
      <c r="P68" s="3">
        <v>86.738181818181786</v>
      </c>
      <c r="Q68" s="3">
        <v>86.814247311827771</v>
      </c>
      <c r="R68" s="3">
        <v>92.382568807339439</v>
      </c>
      <c r="S68" s="3">
        <v>89.186559139785103</v>
      </c>
      <c r="T68" s="3">
        <v>93.29569892473107</v>
      </c>
      <c r="U68" s="3">
        <v>85.693548387096584</v>
      </c>
      <c r="V68" s="3"/>
      <c r="W68" s="3"/>
      <c r="X68" s="3"/>
      <c r="Y68" s="3"/>
      <c r="Z68" s="3"/>
      <c r="AA68" s="3"/>
      <c r="AB68" s="3"/>
      <c r="AC68" s="3">
        <v>5.0999999999999996</v>
      </c>
      <c r="AD68" s="3">
        <v>4.2064516129032263</v>
      </c>
      <c r="AE68" s="3">
        <v>3.56</v>
      </c>
      <c r="AF68" s="3">
        <v>1.6129032258064515</v>
      </c>
      <c r="AG68" s="3">
        <v>0.34838709677419349</v>
      </c>
      <c r="AH68" s="3">
        <v>1.1580645161290324</v>
      </c>
      <c r="AI68" s="6">
        <f t="shared" ref="AI68:AI74" si="6">INTERCEPT($C$2:$F$2,AD68:AG68)</f>
        <v>4608.8612436315298</v>
      </c>
      <c r="AJ68" s="6">
        <f t="shared" ref="AJ68:AJ74" si="7">-SLOPE(AD68:AG68,$C$2:$F$2)*1000</f>
        <v>6.6491839330879392</v>
      </c>
      <c r="AK68" s="3">
        <v>4.24</v>
      </c>
      <c r="AL68" s="3">
        <v>3.2129032258064525</v>
      </c>
      <c r="AM68" s="3">
        <v>2.96</v>
      </c>
      <c r="AN68" s="3">
        <v>0.62258064516129019</v>
      </c>
      <c r="AO68" s="3">
        <v>-0.16774193548387095</v>
      </c>
      <c r="AP68" s="3">
        <v>-0.18064516129032257</v>
      </c>
      <c r="AQ68" s="3">
        <v>62.820000000000007</v>
      </c>
      <c r="AR68" s="3">
        <v>65.01612903225805</v>
      </c>
      <c r="AS68" s="3">
        <v>79.34</v>
      </c>
      <c r="AT68" s="3">
        <v>74.080645161290334</v>
      </c>
      <c r="AU68" s="3">
        <v>77.961290322580666</v>
      </c>
      <c r="AV68" s="3">
        <v>65.92903225806451</v>
      </c>
      <c r="AW68">
        <v>9300.8628164410002</v>
      </c>
      <c r="AX68">
        <v>3.6675326563253199</v>
      </c>
      <c r="AY68" s="20">
        <v>40909</v>
      </c>
      <c r="AZ68">
        <v>4960.1350274249926</v>
      </c>
      <c r="BA68" s="29">
        <v>-0.86</v>
      </c>
      <c r="BB68" s="29">
        <v>-0.86</v>
      </c>
      <c r="BC68" s="30">
        <v>1.8</v>
      </c>
      <c r="BD68">
        <v>27.3</v>
      </c>
      <c r="BE68">
        <v>25.67</v>
      </c>
      <c r="BF68">
        <v>24.38</v>
      </c>
      <c r="BG68" s="9"/>
      <c r="BH68" s="9"/>
      <c r="BI68" s="9"/>
      <c r="BJ68" s="9"/>
    </row>
    <row r="69" spans="1:62" ht="15" thickBot="1">
      <c r="A69" s="20">
        <v>40940</v>
      </c>
      <c r="B69" s="3">
        <v>8.0617816091954015</v>
      </c>
      <c r="C69" s="3">
        <v>6.7517241379310438</v>
      </c>
      <c r="D69" s="3">
        <v>5.3103448275862117</v>
      </c>
      <c r="E69" s="3">
        <v>3.6129310344827554</v>
      </c>
      <c r="F69" s="3">
        <v>2.3663793103448292</v>
      </c>
      <c r="G69" s="3">
        <v>3.8362068965517184</v>
      </c>
      <c r="H69" s="6">
        <f t="shared" si="4"/>
        <v>4868.5506775874373</v>
      </c>
      <c r="I69" s="6">
        <f t="shared" si="5"/>
        <v>7.231992775783624</v>
      </c>
      <c r="J69" s="3">
        <v>5.491522988505757</v>
      </c>
      <c r="K69" s="3">
        <v>4.7295977011494266</v>
      </c>
      <c r="L69" s="3">
        <v>3.5844827586206907</v>
      </c>
      <c r="M69" s="3">
        <v>1.9553160919540271</v>
      </c>
      <c r="N69" s="3">
        <v>1.6553160919540193</v>
      </c>
      <c r="O69" s="3">
        <v>1.4247126436781588</v>
      </c>
      <c r="P69" s="3">
        <v>85.49669540229867</v>
      </c>
      <c r="Q69" s="3">
        <v>87.746120689655115</v>
      </c>
      <c r="R69" s="3">
        <v>89.328160919540196</v>
      </c>
      <c r="S69" s="3">
        <v>89.570977011494236</v>
      </c>
      <c r="T69" s="3">
        <v>91.891379310344746</v>
      </c>
      <c r="U69" s="3">
        <v>85.354022988505733</v>
      </c>
      <c r="V69" s="3"/>
      <c r="W69" s="3"/>
      <c r="X69" s="3"/>
      <c r="Y69" s="3"/>
      <c r="Z69" s="3"/>
      <c r="AA69" s="3"/>
      <c r="AB69" s="3"/>
      <c r="AC69" s="3">
        <v>3.6551724137931036</v>
      </c>
      <c r="AD69" s="3">
        <v>3.5482758620689663</v>
      </c>
      <c r="AE69" s="3">
        <v>2.3551724137931038</v>
      </c>
      <c r="AF69" s="3">
        <v>0.98275862068965514</v>
      </c>
      <c r="AG69" s="3">
        <v>-0.33103448275862074</v>
      </c>
      <c r="AH69" s="3">
        <v>0.46896551724137919</v>
      </c>
      <c r="AI69" s="6">
        <f t="shared" si="6"/>
        <v>4506.2087535706351</v>
      </c>
      <c r="AJ69" s="6">
        <f t="shared" si="7"/>
        <v>6.339240055154594</v>
      </c>
      <c r="AK69" s="3">
        <v>2.8586206896551731</v>
      </c>
      <c r="AL69" s="3">
        <v>2.6620689655172409</v>
      </c>
      <c r="AM69" s="3">
        <v>1.4586206896551723</v>
      </c>
      <c r="AN69" s="3">
        <v>-0.18965517241379307</v>
      </c>
      <c r="AO69" s="3">
        <v>-1.1482758620689657</v>
      </c>
      <c r="AP69" s="3">
        <v>-1.1482758620689657</v>
      </c>
      <c r="AQ69" s="3">
        <v>57.403448275862061</v>
      </c>
      <c r="AR69" s="3">
        <v>69.937931034482773</v>
      </c>
      <c r="AS69" s="3">
        <v>71.131034482758622</v>
      </c>
      <c r="AT69" s="3">
        <v>76.18620689655171</v>
      </c>
      <c r="AU69" s="3">
        <v>78.493103448275889</v>
      </c>
      <c r="AV69" s="3">
        <v>69.203448275862087</v>
      </c>
      <c r="AW69" s="21"/>
      <c r="AX69" s="21"/>
      <c r="AY69" s="20">
        <v>40940</v>
      </c>
      <c r="AZ69" s="21">
        <v>4868.5506775874373</v>
      </c>
      <c r="BA69" s="29">
        <v>-0.72</v>
      </c>
      <c r="BB69" s="29">
        <v>-0.72</v>
      </c>
      <c r="BC69" s="30">
        <v>0.8</v>
      </c>
      <c r="BD69">
        <v>27.29</v>
      </c>
      <c r="BE69">
        <v>26.08</v>
      </c>
      <c r="BF69">
        <v>26.46</v>
      </c>
      <c r="BG69" s="9"/>
      <c r="BH69" s="9"/>
      <c r="BI69" s="9"/>
      <c r="BJ69" s="9"/>
    </row>
    <row r="70" spans="1:62" ht="15" thickBot="1">
      <c r="A70" s="20">
        <v>40969</v>
      </c>
      <c r="B70" s="3">
        <v>9.341397849462366</v>
      </c>
      <c r="C70" s="3">
        <v>7.6853494623655845</v>
      </c>
      <c r="D70" s="3">
        <v>5.884946236559137</v>
      </c>
      <c r="E70" s="3">
        <v>4.1361559139784916</v>
      </c>
      <c r="F70" s="3">
        <v>2.6657258064516109</v>
      </c>
      <c r="G70" s="3">
        <v>4.2236559139784928</v>
      </c>
      <c r="H70" s="6">
        <f t="shared" si="4"/>
        <v>4866.5327489454876</v>
      </c>
      <c r="I70" s="6">
        <f t="shared" si="5"/>
        <v>8.1657410951603495</v>
      </c>
      <c r="J70" s="3">
        <v>5.2853494623655894</v>
      </c>
      <c r="K70" s="3">
        <v>4.6016129032258055</v>
      </c>
      <c r="L70" s="3">
        <v>3.6955645161290365</v>
      </c>
      <c r="M70" s="3">
        <v>2.2986559139784943</v>
      </c>
      <c r="N70" s="3">
        <v>2.0173387096774218</v>
      </c>
      <c r="O70" s="3">
        <v>1.8538978494623684</v>
      </c>
      <c r="P70" s="3">
        <v>78.419892473118267</v>
      </c>
      <c r="Q70" s="3">
        <v>81.939919354838707</v>
      </c>
      <c r="R70" s="3">
        <v>86.631048387096797</v>
      </c>
      <c r="S70" s="3">
        <v>88.331182795698993</v>
      </c>
      <c r="T70" s="3">
        <v>92.117741935483878</v>
      </c>
      <c r="U70" s="3">
        <v>85.320833333333368</v>
      </c>
      <c r="V70" s="3"/>
      <c r="W70" s="3"/>
      <c r="X70" s="3"/>
      <c r="Y70" s="3"/>
      <c r="Z70" s="3"/>
      <c r="AA70" s="3"/>
      <c r="AB70" s="3"/>
      <c r="AC70" s="3">
        <v>4.435483870967742</v>
      </c>
      <c r="AD70" s="3">
        <v>4.4129032258064509</v>
      </c>
      <c r="AE70" s="3">
        <v>3.0774193548387099</v>
      </c>
      <c r="AF70" s="3">
        <v>1.703225806451613</v>
      </c>
      <c r="AG70" s="3">
        <v>0.29677419354838708</v>
      </c>
      <c r="AH70" s="3">
        <v>1.096774193548387</v>
      </c>
      <c r="AI70" s="6">
        <f t="shared" si="6"/>
        <v>4602.2212903076088</v>
      </c>
      <c r="AJ70" s="6">
        <f t="shared" si="7"/>
        <v>6.6782734692213888</v>
      </c>
      <c r="AK70" s="3">
        <v>2.9645161290322575</v>
      </c>
      <c r="AL70" s="3">
        <v>2.8677419354838709</v>
      </c>
      <c r="AM70" s="3">
        <v>1.9935483870967738</v>
      </c>
      <c r="AN70" s="3">
        <v>0.60967741935483866</v>
      </c>
      <c r="AO70" s="3">
        <v>-0.23870967741935484</v>
      </c>
      <c r="AP70" s="3">
        <v>-0.23870967741935484</v>
      </c>
      <c r="AQ70" s="3">
        <v>46.848387096774189</v>
      </c>
      <c r="AR70" s="3">
        <v>61.764516129032252</v>
      </c>
      <c r="AS70" s="3">
        <v>67.458064516129028</v>
      </c>
      <c r="AT70" s="3">
        <v>74.012903225806468</v>
      </c>
      <c r="AU70" s="3">
        <v>77.874193548387112</v>
      </c>
      <c r="AV70" s="3">
        <v>67.035483870967738</v>
      </c>
      <c r="AW70" s="21"/>
      <c r="AX70" s="21"/>
      <c r="AY70" s="20">
        <v>40969</v>
      </c>
      <c r="AZ70" s="21">
        <v>4866.5327489454876</v>
      </c>
      <c r="BA70" s="29">
        <v>-0.59</v>
      </c>
      <c r="BB70" s="29">
        <v>-0.59</v>
      </c>
      <c r="BC70" s="30">
        <v>1.2</v>
      </c>
      <c r="BD70">
        <v>27.56</v>
      </c>
      <c r="BE70">
        <v>26.67</v>
      </c>
      <c r="BF70">
        <v>26.65</v>
      </c>
      <c r="BG70" s="9"/>
      <c r="BH70" s="9"/>
      <c r="BI70" s="9"/>
      <c r="BJ70" s="9"/>
    </row>
    <row r="71" spans="1:62" ht="15" thickBot="1">
      <c r="A71" s="20">
        <v>41000</v>
      </c>
      <c r="B71" s="3">
        <v>8.5409722222222229</v>
      </c>
      <c r="C71" s="3">
        <v>7.1286111111111143</v>
      </c>
      <c r="D71" s="3">
        <v>5.6318055555555526</v>
      </c>
      <c r="E71" s="3">
        <v>3.9151388888888858</v>
      </c>
      <c r="F71" s="3">
        <v>2.6361111111111124</v>
      </c>
      <c r="G71" s="3">
        <v>4.0855555555555529</v>
      </c>
      <c r="H71" s="6">
        <f t="shared" si="4"/>
        <v>4897.292388947063</v>
      </c>
      <c r="I71" s="6">
        <f t="shared" si="5"/>
        <v>7.3955862576016225</v>
      </c>
      <c r="J71" s="3">
        <v>5.6291666666666655</v>
      </c>
      <c r="K71" s="3">
        <v>4.8744444444444479</v>
      </c>
      <c r="L71" s="3">
        <v>3.9752777777777744</v>
      </c>
      <c r="M71" s="3">
        <v>2.3359722222222228</v>
      </c>
      <c r="N71" s="3">
        <v>2.2266666666666657</v>
      </c>
      <c r="O71" s="3">
        <v>1.9959722222222211</v>
      </c>
      <c r="P71" s="3">
        <v>83.726805555555501</v>
      </c>
      <c r="Q71" s="3">
        <v>86.297638888888827</v>
      </c>
      <c r="R71" s="3">
        <v>89.598611111111012</v>
      </c>
      <c r="S71" s="3">
        <v>89.75208333333336</v>
      </c>
      <c r="T71" s="3">
        <v>93.465555555555639</v>
      </c>
      <c r="U71" s="3">
        <v>86.885694444444496</v>
      </c>
      <c r="V71" s="3"/>
      <c r="W71" s="3"/>
      <c r="X71" s="3"/>
      <c r="Y71" s="3"/>
      <c r="Z71" s="3"/>
      <c r="AA71" s="3"/>
      <c r="AB71" s="3"/>
      <c r="AC71" s="3">
        <v>3.7833333333333332</v>
      </c>
      <c r="AD71" s="3">
        <v>3.9066666666666667</v>
      </c>
      <c r="AE71" s="3">
        <v>2.8366666666666669</v>
      </c>
      <c r="AF71" s="3">
        <v>1.5033333333333334</v>
      </c>
      <c r="AG71" s="3">
        <v>0.31333333333333341</v>
      </c>
      <c r="AH71" s="3">
        <v>1.0366666666666666</v>
      </c>
      <c r="AI71" s="6">
        <f t="shared" si="6"/>
        <v>4610.113797806358</v>
      </c>
      <c r="AJ71" s="6">
        <f t="shared" si="7"/>
        <v>5.9066524794396038</v>
      </c>
      <c r="AK71" s="3">
        <v>2.9066666666666667</v>
      </c>
      <c r="AL71" s="3">
        <v>2.7766666666666664</v>
      </c>
      <c r="AM71" s="3">
        <v>1.9466666666666665</v>
      </c>
      <c r="AN71" s="3">
        <v>0.49000000000000005</v>
      </c>
      <c r="AO71" s="3">
        <v>-0.17333333333333334</v>
      </c>
      <c r="AP71" s="3">
        <v>-0.17333333333333334</v>
      </c>
      <c r="AQ71" s="3">
        <v>55.063333333333347</v>
      </c>
      <c r="AR71" s="3">
        <v>69.329999999999984</v>
      </c>
      <c r="AS71" s="3">
        <v>72.193333333333328</v>
      </c>
      <c r="AT71" s="3">
        <v>77.496666666666655</v>
      </c>
      <c r="AU71" s="3">
        <v>81.613333333333316</v>
      </c>
      <c r="AV71" s="3">
        <v>69.096666666666664</v>
      </c>
      <c r="AW71" s="21"/>
      <c r="AX71" s="21"/>
      <c r="AY71" s="20">
        <v>41000</v>
      </c>
      <c r="AZ71" s="21">
        <v>4897.292388947063</v>
      </c>
      <c r="BA71" s="22">
        <v>-0.47</v>
      </c>
      <c r="BB71" s="22">
        <v>-0.47</v>
      </c>
      <c r="BC71" s="30">
        <v>-0.4</v>
      </c>
      <c r="BD71">
        <v>28.03</v>
      </c>
      <c r="BE71">
        <v>27.32</v>
      </c>
      <c r="BF71">
        <v>26.44</v>
      </c>
      <c r="BG71" s="9"/>
      <c r="BH71" s="9"/>
      <c r="BI71" s="9"/>
      <c r="BJ71" s="9"/>
    </row>
    <row r="72" spans="1:62" ht="15" thickBot="1">
      <c r="A72" s="20">
        <v>41030</v>
      </c>
      <c r="B72" s="3">
        <v>9.2661290322580641</v>
      </c>
      <c r="C72" s="3">
        <v>8.0848118279570027</v>
      </c>
      <c r="D72" s="3">
        <v>6.2740591397849457</v>
      </c>
      <c r="E72" s="3">
        <v>4.7435483870967712</v>
      </c>
      <c r="F72" s="3">
        <v>3.0813172043010746</v>
      </c>
      <c r="G72" s="3">
        <v>4.6901881720430092</v>
      </c>
      <c r="H72" s="6">
        <f t="shared" si="4"/>
        <v>4932.6044792413677</v>
      </c>
      <c r="I72" s="6">
        <f t="shared" si="5"/>
        <v>8.029957875540406</v>
      </c>
      <c r="J72" s="3">
        <v>3.1551075268817192</v>
      </c>
      <c r="K72" s="3">
        <v>2.258870967741935</v>
      </c>
      <c r="L72" s="3">
        <v>1.4552419354838726</v>
      </c>
      <c r="M72" s="3">
        <v>6.2768817204301219E-2</v>
      </c>
      <c r="N72" s="3">
        <v>-0.45376344086021464</v>
      </c>
      <c r="O72" s="3">
        <v>-0.55147849462365539</v>
      </c>
      <c r="P72" s="3">
        <v>70.381720430107549</v>
      </c>
      <c r="Q72" s="3">
        <v>70.289381720430157</v>
      </c>
      <c r="R72" s="3">
        <v>74.349462365591421</v>
      </c>
      <c r="S72" s="3">
        <v>74.186021505376303</v>
      </c>
      <c r="T72" s="3">
        <v>78.786962365591435</v>
      </c>
      <c r="U72" s="3">
        <v>71.908467741935482</v>
      </c>
      <c r="V72" s="3"/>
      <c r="W72" s="3"/>
      <c r="X72" s="3"/>
      <c r="Y72" s="3"/>
      <c r="Z72" s="3"/>
      <c r="AA72" s="3"/>
      <c r="AB72" s="3"/>
      <c r="AC72" s="3">
        <v>3.064516129032258</v>
      </c>
      <c r="AD72" s="3">
        <v>4.1709677419354838</v>
      </c>
      <c r="AE72" s="3">
        <v>3.0548387096774197</v>
      </c>
      <c r="AF72" s="3">
        <v>1.8451612903225807</v>
      </c>
      <c r="AG72" s="3">
        <v>0.48387096774193561</v>
      </c>
      <c r="AH72" s="3">
        <v>0.88387096774193541</v>
      </c>
      <c r="AI72" s="6">
        <f t="shared" si="6"/>
        <v>4646.5189453240846</v>
      </c>
      <c r="AJ72" s="6">
        <f t="shared" si="7"/>
        <v>5.9786014773389997</v>
      </c>
      <c r="AK72" s="3">
        <v>-9.6774193548387327E-3</v>
      </c>
      <c r="AL72" s="3">
        <v>0.13870967741935489</v>
      </c>
      <c r="AM72" s="3">
        <v>-0.66774193548387106</v>
      </c>
      <c r="AN72" s="3">
        <v>-2.096774193548387</v>
      </c>
      <c r="AO72" s="3">
        <v>-3.2483870967741937</v>
      </c>
      <c r="AP72" s="3">
        <v>-3.2483870967741937</v>
      </c>
      <c r="AQ72" s="3">
        <v>40.345161290322572</v>
      </c>
      <c r="AR72" s="3">
        <v>47.480645161290326</v>
      </c>
      <c r="AS72" s="3">
        <v>51.499999999999993</v>
      </c>
      <c r="AT72" s="3">
        <v>56.300000000000004</v>
      </c>
      <c r="AU72" s="3">
        <v>61.383870967741935</v>
      </c>
      <c r="AV72" s="3">
        <v>46.835483870967749</v>
      </c>
      <c r="AW72" s="21"/>
      <c r="AX72" s="21"/>
      <c r="AY72" s="20">
        <v>41030</v>
      </c>
      <c r="AZ72" s="21">
        <v>4932.6044792413677</v>
      </c>
      <c r="BA72" s="22">
        <v>-0.26</v>
      </c>
      <c r="BB72" s="22">
        <v>-0.26</v>
      </c>
      <c r="BC72" s="30">
        <v>0.1</v>
      </c>
      <c r="BD72">
        <v>28.4</v>
      </c>
      <c r="BE72">
        <v>27.61</v>
      </c>
      <c r="BF72">
        <v>25.29</v>
      </c>
      <c r="BG72" s="9"/>
      <c r="BH72" s="9"/>
      <c r="BI72" s="9"/>
      <c r="BJ72" s="9"/>
    </row>
    <row r="73" spans="1:62" ht="15" thickBot="1">
      <c r="A73" s="20">
        <v>41061</v>
      </c>
      <c r="B73" s="3">
        <v>8.4013888888888886</v>
      </c>
      <c r="C73" s="3">
        <v>7.5862499999999988</v>
      </c>
      <c r="D73" s="3">
        <v>5.5937500000000053</v>
      </c>
      <c r="E73" s="3">
        <v>4.0394444444444417</v>
      </c>
      <c r="F73" s="3">
        <v>2.2723611111111106</v>
      </c>
      <c r="G73" s="3">
        <v>3.8597222222222216</v>
      </c>
      <c r="H73" s="6">
        <f t="shared" si="4"/>
        <v>4815.4932991180267</v>
      </c>
      <c r="I73" s="6">
        <f t="shared" si="5"/>
        <v>8.4856711909564897</v>
      </c>
      <c r="J73" s="3">
        <v>0.75375000000000036</v>
      </c>
      <c r="K73" s="3">
        <v>0.13569444444444481</v>
      </c>
      <c r="L73" s="3">
        <v>-0.45097222222222227</v>
      </c>
      <c r="M73" s="3">
        <v>-1.4365277777777781</v>
      </c>
      <c r="N73" s="3">
        <v>-2.2469444444444435</v>
      </c>
      <c r="O73" s="3">
        <v>-2.2808333333333342</v>
      </c>
      <c r="P73" s="3">
        <v>62.356805555555525</v>
      </c>
      <c r="Q73" s="3">
        <v>61.403749999999938</v>
      </c>
      <c r="R73" s="3">
        <v>67.104722222222193</v>
      </c>
      <c r="S73" s="3">
        <v>69.046111111111102</v>
      </c>
      <c r="T73" s="3">
        <v>73.238472222222171</v>
      </c>
      <c r="U73" s="3">
        <v>66.88833333333325</v>
      </c>
      <c r="V73" s="3"/>
      <c r="W73" s="3"/>
      <c r="X73" s="3"/>
      <c r="Y73" s="3"/>
      <c r="Z73" s="3"/>
      <c r="AA73" s="3"/>
      <c r="AB73" s="3"/>
      <c r="AC73" s="3">
        <v>1.8833333333333333</v>
      </c>
      <c r="AD73" s="3">
        <v>3.4500000000000006</v>
      </c>
      <c r="AE73" s="3">
        <v>2.0800000000000005</v>
      </c>
      <c r="AF73" s="3">
        <v>0.99</v>
      </c>
      <c r="AG73" s="3">
        <v>-0.68333333333333324</v>
      </c>
      <c r="AH73" s="3">
        <v>-0.16333333333333336</v>
      </c>
      <c r="AI73" s="6">
        <f t="shared" si="6"/>
        <v>4467.8800487302033</v>
      </c>
      <c r="AJ73" s="6">
        <f t="shared" si="7"/>
        <v>6.5562089702543265</v>
      </c>
      <c r="AK73" s="3">
        <v>-1.7466666666666661</v>
      </c>
      <c r="AL73" s="3">
        <v>-1.6933333333333338</v>
      </c>
      <c r="AM73" s="3">
        <v>-2.3433333333333337</v>
      </c>
      <c r="AN73" s="3">
        <v>-3.503333333333333</v>
      </c>
      <c r="AO73" s="3">
        <v>-5.0166666666666675</v>
      </c>
      <c r="AP73" s="3">
        <v>-5.0166666666666675</v>
      </c>
      <c r="AQ73" s="3">
        <v>35.703333333333333</v>
      </c>
      <c r="AR73" s="3">
        <v>40.943333333333342</v>
      </c>
      <c r="AS73" s="3">
        <v>45.98</v>
      </c>
      <c r="AT73" s="3">
        <v>50.586666666666659</v>
      </c>
      <c r="AU73" s="3">
        <v>53.253333333333337</v>
      </c>
      <c r="AV73" s="3">
        <v>40.860000000000007</v>
      </c>
      <c r="AW73" s="21"/>
      <c r="AX73" s="21"/>
      <c r="AY73" s="20">
        <v>41061</v>
      </c>
      <c r="AZ73" s="21">
        <v>4815.4932991180267</v>
      </c>
      <c r="BA73" s="22">
        <v>-0.01</v>
      </c>
      <c r="BB73" s="22">
        <v>-0.01</v>
      </c>
      <c r="BC73" s="30">
        <v>-0.7</v>
      </c>
      <c r="BD73">
        <v>28.58</v>
      </c>
      <c r="BE73">
        <v>27.75</v>
      </c>
      <c r="BF73">
        <v>24.14</v>
      </c>
      <c r="BG73" s="9"/>
      <c r="BH73" s="9"/>
      <c r="BI73" s="9"/>
      <c r="BJ73" s="9"/>
    </row>
    <row r="74" spans="1:62" ht="15" thickBot="1">
      <c r="A74" s="20">
        <v>41091</v>
      </c>
      <c r="B74" s="3">
        <v>7.6473214285714288</v>
      </c>
      <c r="C74" s="3">
        <v>8.6279569892473109</v>
      </c>
      <c r="D74" s="3">
        <v>5.4806201550387588</v>
      </c>
      <c r="E74" s="3">
        <v>4.105384615384617</v>
      </c>
      <c r="F74" s="3">
        <v>4.3879032258064514</v>
      </c>
      <c r="G74" s="3">
        <v>4.6306451612903228</v>
      </c>
      <c r="H74" s="6">
        <f t="shared" si="4"/>
        <v>4866.8861632093567</v>
      </c>
      <c r="I74" s="6">
        <f t="shared" si="5"/>
        <v>6.6989405993149216</v>
      </c>
      <c r="J74" s="3">
        <v>-0.31339285714285731</v>
      </c>
      <c r="K74" s="3">
        <v>-2.7951612903225813</v>
      </c>
      <c r="L74" s="3">
        <v>-1.8813953488372102</v>
      </c>
      <c r="M74" s="3">
        <v>-2.8761538461538443</v>
      </c>
      <c r="N74" s="3">
        <v>-5.3000000000000016</v>
      </c>
      <c r="O74" s="3">
        <v>-5.3057795698924748</v>
      </c>
      <c r="P74" s="3">
        <v>62.17946428571431</v>
      </c>
      <c r="Q74" s="3">
        <v>48.276881720429984</v>
      </c>
      <c r="R74" s="3">
        <v>61.1</v>
      </c>
      <c r="S74" s="3">
        <v>61.887692307692333</v>
      </c>
      <c r="T74" s="3">
        <v>54.725268817204068</v>
      </c>
      <c r="U74" s="3">
        <v>53.867607526881478</v>
      </c>
      <c r="V74" s="3"/>
      <c r="W74" s="3"/>
      <c r="X74" s="3"/>
      <c r="Y74" s="3"/>
      <c r="Z74" s="3"/>
      <c r="AA74" s="3"/>
      <c r="AB74" s="3"/>
      <c r="AC74" s="3">
        <v>-0.4</v>
      </c>
      <c r="AD74" s="3">
        <v>3.8774193548387097</v>
      </c>
      <c r="AE74" s="3">
        <v>1.5999999999999999</v>
      </c>
      <c r="AF74" s="3">
        <v>0.91666666666666663</v>
      </c>
      <c r="AG74" s="3">
        <v>0.18387096774193548</v>
      </c>
      <c r="AH74" s="3">
        <v>0.21935483870967742</v>
      </c>
      <c r="AI74" s="6">
        <f t="shared" si="6"/>
        <v>4502.103627542625</v>
      </c>
      <c r="AJ74" s="6">
        <f t="shared" si="7"/>
        <v>5.6158276047602804</v>
      </c>
      <c r="AK74" s="3">
        <v>-2.6999999999999997</v>
      </c>
      <c r="AL74" s="3">
        <v>-5.3129032258064512</v>
      </c>
      <c r="AM74" s="3">
        <v>-3.9166666666666661</v>
      </c>
      <c r="AN74" s="3">
        <v>-5.3833333333333329</v>
      </c>
      <c r="AO74" s="3">
        <v>-8.9580645161290331</v>
      </c>
      <c r="AP74" s="3">
        <v>-8.9580645161290331</v>
      </c>
      <c r="AQ74" s="3">
        <v>30.48</v>
      </c>
      <c r="AR74" s="3">
        <v>28.64193548387097</v>
      </c>
      <c r="AS74" s="3">
        <v>41.68333333333333</v>
      </c>
      <c r="AT74" s="3">
        <v>47.833333333333336</v>
      </c>
      <c r="AU74" s="3">
        <v>30.016129032258064</v>
      </c>
      <c r="AV74" s="3">
        <v>28.78709677419355</v>
      </c>
      <c r="AW74" s="21"/>
      <c r="AX74" s="21"/>
      <c r="AY74" s="20">
        <v>41091</v>
      </c>
      <c r="AZ74" s="21">
        <v>4866.8861632093567</v>
      </c>
      <c r="BA74" s="22">
        <v>0.25</v>
      </c>
      <c r="BB74" s="22">
        <v>0.25</v>
      </c>
      <c r="BC74" s="30">
        <v>-0.1</v>
      </c>
      <c r="BD74">
        <v>28.64</v>
      </c>
      <c r="BE74">
        <v>27.54</v>
      </c>
      <c r="BF74">
        <v>22.36</v>
      </c>
      <c r="BG74" s="9"/>
      <c r="BH74" s="9"/>
      <c r="BI74" s="9"/>
      <c r="BJ74" s="9"/>
    </row>
    <row r="75" spans="1:62" ht="15" thickBot="1">
      <c r="A75" s="20">
        <v>41122</v>
      </c>
      <c r="B75" s="3"/>
      <c r="C75" s="3">
        <v>8.644489247311828</v>
      </c>
      <c r="F75" s="3">
        <v>4.48252688172043</v>
      </c>
      <c r="G75" s="3">
        <v>4.48252688172043</v>
      </c>
      <c r="H75" s="6"/>
      <c r="I75" s="6"/>
      <c r="K75" s="3">
        <v>-3.8361559139784958</v>
      </c>
      <c r="N75" s="3">
        <v>-5.9322580645161223</v>
      </c>
      <c r="O75" s="3">
        <v>-5.9322580645161223</v>
      </c>
      <c r="Q75" s="3">
        <v>46.956854838709667</v>
      </c>
      <c r="T75" s="3">
        <v>53.736155913978479</v>
      </c>
      <c r="U75" s="3">
        <v>53.736155913978479</v>
      </c>
      <c r="V75" s="3"/>
      <c r="W75" s="3"/>
      <c r="X75" s="3"/>
      <c r="Y75" s="3"/>
      <c r="Z75" s="3"/>
      <c r="AA75" s="3"/>
      <c r="AB75" s="3"/>
      <c r="AC75" s="3"/>
      <c r="AD75" s="3">
        <v>3.5483870967741935</v>
      </c>
      <c r="AE75" s="3"/>
      <c r="AF75" s="3"/>
      <c r="AG75" s="3">
        <v>-0.17741935483870969</v>
      </c>
      <c r="AH75" s="3">
        <v>-0.17741935483870969</v>
      </c>
      <c r="AI75" s="6"/>
      <c r="AJ75" s="6"/>
      <c r="AK75" s="3"/>
      <c r="AL75" s="3">
        <v>-6.5</v>
      </c>
      <c r="AM75" s="3"/>
      <c r="AN75" s="3"/>
      <c r="AO75" s="3">
        <v>-9.2580645161290303</v>
      </c>
      <c r="AP75" s="3">
        <v>-9.2580645161290303</v>
      </c>
      <c r="AQ75" s="3"/>
      <c r="AR75" s="3">
        <v>25.761290322580646</v>
      </c>
      <c r="AS75" s="3"/>
      <c r="AT75" s="3"/>
      <c r="AU75" s="3">
        <v>29.158064516129034</v>
      </c>
      <c r="AV75" s="3">
        <v>29.158064516129034</v>
      </c>
      <c r="AW75" s="21"/>
      <c r="AX75" s="21"/>
      <c r="AY75" s="20">
        <v>41456</v>
      </c>
      <c r="AZ75">
        <v>4851.8952956094663</v>
      </c>
      <c r="BA75" s="22">
        <v>-0.4</v>
      </c>
      <c r="BB75" s="22">
        <v>0.37</v>
      </c>
      <c r="BC75" s="30">
        <v>-0.3</v>
      </c>
      <c r="BD75">
        <v>28.86</v>
      </c>
      <c r="BE75">
        <v>27.32</v>
      </c>
      <c r="BF75">
        <v>21.07</v>
      </c>
      <c r="BG75" s="9"/>
      <c r="BH75" s="9"/>
      <c r="BI75" s="9"/>
      <c r="BJ75" s="9"/>
    </row>
    <row r="76" spans="1:62" ht="15" thickBot="1">
      <c r="A76" s="20">
        <v>41153</v>
      </c>
      <c r="B76" s="3"/>
      <c r="C76" s="3">
        <v>8.5472222222222225</v>
      </c>
      <c r="F76" s="3">
        <v>4.2374999999999998</v>
      </c>
      <c r="G76" s="3">
        <v>4.2374999999999998</v>
      </c>
      <c r="H76" s="6"/>
      <c r="I76" s="6"/>
      <c r="K76" s="3">
        <v>0.48833333333333417</v>
      </c>
      <c r="N76" s="3">
        <v>-1.6213888888888934</v>
      </c>
      <c r="O76" s="3">
        <v>-1.6213888888888934</v>
      </c>
      <c r="Q76" s="3">
        <v>60.107361111111096</v>
      </c>
      <c r="T76" s="3">
        <v>68.47499999999998</v>
      </c>
      <c r="U76" s="3">
        <v>68.47499999999998</v>
      </c>
      <c r="V76" s="3"/>
      <c r="W76" s="3"/>
      <c r="X76" s="3"/>
      <c r="Y76" s="3"/>
      <c r="Z76" s="3"/>
      <c r="AA76" s="3"/>
      <c r="AB76" s="3"/>
      <c r="AC76" s="3"/>
      <c r="AD76" s="3">
        <v>4.2</v>
      </c>
      <c r="AE76" s="3"/>
      <c r="AF76" s="3"/>
      <c r="AG76" s="3">
        <v>0.36666666666666664</v>
      </c>
      <c r="AH76" s="3">
        <v>0.36666666666666664</v>
      </c>
      <c r="AI76" s="6"/>
      <c r="AJ76" s="6"/>
      <c r="AK76" s="3"/>
      <c r="AL76" s="3">
        <v>-1.2799999999999998</v>
      </c>
      <c r="AM76" s="3"/>
      <c r="AN76" s="3"/>
      <c r="AO76" s="3">
        <v>-4.0900000000000007</v>
      </c>
      <c r="AP76" s="3">
        <v>-4.0900000000000007</v>
      </c>
      <c r="AQ76" s="3"/>
      <c r="AR76" s="3">
        <v>35.533333333333331</v>
      </c>
      <c r="AS76" s="3"/>
      <c r="AT76" s="3"/>
      <c r="AU76" s="3">
        <v>43.126666666666672</v>
      </c>
      <c r="AV76" s="3">
        <v>43.126666666666672</v>
      </c>
      <c r="AW76" s="21"/>
      <c r="AX76" s="21"/>
      <c r="AY76" s="20">
        <v>41487</v>
      </c>
      <c r="AZ76">
        <v>4873.2728172545831</v>
      </c>
      <c r="BA76" s="22">
        <v>-0.32</v>
      </c>
      <c r="BB76" s="22">
        <v>0.37</v>
      </c>
      <c r="BC76" s="30">
        <v>0.4</v>
      </c>
      <c r="BD76">
        <v>28.97</v>
      </c>
      <c r="BE76">
        <v>27.1</v>
      </c>
      <c r="BF76">
        <v>20.79</v>
      </c>
      <c r="BG76" s="9"/>
      <c r="BH76" s="9"/>
      <c r="BI76" s="9"/>
      <c r="BJ76" s="9"/>
    </row>
    <row r="77" spans="1:62" ht="15" thickBot="1">
      <c r="A77" s="20">
        <v>41183</v>
      </c>
      <c r="B77" s="3"/>
      <c r="C77" s="3">
        <v>7.918682795698925</v>
      </c>
      <c r="F77" s="3">
        <v>4.609543010752688</v>
      </c>
      <c r="G77" s="3">
        <v>4.609543010752688</v>
      </c>
      <c r="H77" s="6"/>
      <c r="I77" s="6"/>
      <c r="K77" s="3">
        <v>3.4494623655913981</v>
      </c>
      <c r="N77" s="3">
        <v>1.0833333333333335</v>
      </c>
      <c r="O77" s="3">
        <v>1.0833333333333335</v>
      </c>
      <c r="Q77" s="3">
        <v>75.777419354838656</v>
      </c>
      <c r="T77" s="3">
        <v>79.347849462365502</v>
      </c>
      <c r="U77" s="3">
        <v>79.347849462365502</v>
      </c>
      <c r="V77" s="3"/>
      <c r="W77" s="3"/>
      <c r="X77" s="3"/>
      <c r="Y77" s="3"/>
      <c r="Z77" s="3"/>
      <c r="AA77" s="3"/>
      <c r="AB77" s="3"/>
      <c r="AC77" s="3"/>
      <c r="AD77" s="3">
        <v>3.7580645161290325</v>
      </c>
      <c r="AE77" s="3"/>
      <c r="AF77" s="3"/>
      <c r="AG77" s="3">
        <v>0.90322580645161288</v>
      </c>
      <c r="AH77" s="3">
        <v>0.90322580645161288</v>
      </c>
      <c r="AI77" s="6"/>
      <c r="AJ77" s="6"/>
      <c r="AK77" s="3"/>
      <c r="AL77" s="3">
        <v>1.5193548387096771</v>
      </c>
      <c r="AM77" s="3"/>
      <c r="AN77" s="3"/>
      <c r="AO77" s="3">
        <v>-1.1967741935483869</v>
      </c>
      <c r="AP77" s="3">
        <v>-1.1967741935483869</v>
      </c>
      <c r="AQ77" s="3"/>
      <c r="AR77" s="3">
        <v>50.006451612903213</v>
      </c>
      <c r="AS77" s="3"/>
      <c r="AT77" s="3"/>
      <c r="AU77" s="3">
        <v>58.241935483870968</v>
      </c>
      <c r="AV77" s="3">
        <v>58.241935483870968</v>
      </c>
      <c r="AW77" s="21"/>
      <c r="AX77" s="21"/>
      <c r="AY77" s="20">
        <v>41518</v>
      </c>
      <c r="AZ77">
        <v>4880.6047143596879</v>
      </c>
      <c r="BA77" s="22">
        <v>-0.26</v>
      </c>
      <c r="BB77" s="22">
        <v>0.27</v>
      </c>
      <c r="BC77" s="30">
        <v>0.5</v>
      </c>
      <c r="BD77">
        <v>29.07</v>
      </c>
      <c r="BE77">
        <v>26.98</v>
      </c>
      <c r="BF77">
        <v>20.65</v>
      </c>
      <c r="BG77" s="9"/>
      <c r="BH77" s="9"/>
      <c r="BI77" s="9"/>
      <c r="BJ77" s="9"/>
    </row>
    <row r="78" spans="1:62" ht="15" thickBot="1">
      <c r="A78" s="20">
        <v>41214</v>
      </c>
      <c r="B78" s="3"/>
      <c r="C78" s="3">
        <v>7.5993055555555555</v>
      </c>
      <c r="F78" s="3">
        <v>4.6812500000000004</v>
      </c>
      <c r="G78" s="3">
        <v>4.6812500000000004</v>
      </c>
      <c r="H78" s="6"/>
      <c r="I78" s="6"/>
      <c r="K78" s="3">
        <v>5.1005555555555508</v>
      </c>
      <c r="N78" s="3">
        <v>2.3518055555555546</v>
      </c>
      <c r="O78" s="3">
        <v>2.3518055555555546</v>
      </c>
      <c r="Q78" s="3">
        <v>85.437638888888799</v>
      </c>
      <c r="T78" s="3">
        <v>85.862083333333345</v>
      </c>
      <c r="U78" s="3">
        <v>85.862083333333345</v>
      </c>
      <c r="V78" s="3"/>
      <c r="W78" s="3"/>
      <c r="X78" s="3"/>
      <c r="Y78" s="3"/>
      <c r="Z78" s="3"/>
      <c r="AA78" s="3"/>
      <c r="AB78" s="3"/>
      <c r="AC78" s="3"/>
      <c r="AD78" s="3">
        <v>4.3833333333333337</v>
      </c>
      <c r="AE78" s="3"/>
      <c r="AF78" s="3"/>
      <c r="AG78" s="3">
        <v>1.3333333333333333</v>
      </c>
      <c r="AH78" s="3">
        <v>1.3333333333333333</v>
      </c>
      <c r="AI78" s="6"/>
      <c r="AJ78" s="6"/>
      <c r="AK78" s="3"/>
      <c r="AL78" s="3">
        <v>3.1866666666666665</v>
      </c>
      <c r="AM78" s="3"/>
      <c r="AN78" s="3"/>
      <c r="AO78" s="3">
        <v>4.0000000000000008E-2</v>
      </c>
      <c r="AP78" s="3">
        <v>4.0000000000000008E-2</v>
      </c>
      <c r="AQ78" s="3"/>
      <c r="AR78" s="3">
        <v>63.726666666666681</v>
      </c>
      <c r="AS78" s="3"/>
      <c r="AT78" s="3"/>
      <c r="AU78" s="3">
        <v>67.573333333333338</v>
      </c>
      <c r="AV78" s="3">
        <v>67.573333333333338</v>
      </c>
      <c r="AW78" s="21"/>
      <c r="AX78" s="21"/>
      <c r="AY78" s="20">
        <v>41548</v>
      </c>
      <c r="AZ78">
        <v>4878.7072478178043</v>
      </c>
      <c r="BA78" s="22">
        <v>-0.18</v>
      </c>
      <c r="BB78" s="22">
        <v>0.05</v>
      </c>
      <c r="BC78" s="30">
        <v>0.4</v>
      </c>
      <c r="BD78">
        <v>29</v>
      </c>
      <c r="BE78">
        <v>26.86</v>
      </c>
      <c r="BF78">
        <v>21.24</v>
      </c>
      <c r="BG78" s="9"/>
      <c r="BH78" s="9"/>
      <c r="BI78" s="9"/>
      <c r="BJ78" s="9"/>
    </row>
    <row r="79" spans="1:62" ht="15" thickBot="1">
      <c r="A79" s="20">
        <v>41244</v>
      </c>
      <c r="B79" s="3"/>
      <c r="C79" s="3">
        <v>6.6964285714285712</v>
      </c>
      <c r="F79" s="3">
        <v>4.495967741935484</v>
      </c>
      <c r="G79" s="3">
        <v>4.495967741935484</v>
      </c>
      <c r="H79" s="6"/>
      <c r="I79" s="6"/>
      <c r="K79" s="3">
        <v>4.3714285714285728</v>
      </c>
      <c r="N79" s="3">
        <v>1.3611559139784943</v>
      </c>
      <c r="O79" s="3">
        <v>1.3611559139784943</v>
      </c>
      <c r="Q79" s="3">
        <v>85.898214285714261</v>
      </c>
      <c r="T79" s="3">
        <v>82.315725806451567</v>
      </c>
      <c r="U79" s="3">
        <v>82.315725806451567</v>
      </c>
      <c r="V79" s="3"/>
      <c r="W79" s="3"/>
      <c r="X79" s="3"/>
      <c r="Y79" s="3"/>
      <c r="Z79" s="3"/>
      <c r="AA79" s="3"/>
      <c r="AB79" s="3"/>
      <c r="AC79" s="3"/>
      <c r="AD79" s="3">
        <v>3.8</v>
      </c>
      <c r="AE79" s="3"/>
      <c r="AF79" s="3"/>
      <c r="AG79" s="3">
        <v>0.87096774193548387</v>
      </c>
      <c r="AH79" s="3">
        <v>0.87096774193548387</v>
      </c>
      <c r="AI79" s="6"/>
      <c r="AJ79" s="6"/>
      <c r="AK79" s="3"/>
      <c r="AL79" s="3">
        <v>2.38</v>
      </c>
      <c r="AM79" s="3"/>
      <c r="AN79" s="3"/>
      <c r="AO79" s="3">
        <v>-1.4322580645161294</v>
      </c>
      <c r="AP79" s="3">
        <v>-1.4322580645161294</v>
      </c>
      <c r="AQ79" s="3"/>
      <c r="AR79" s="3">
        <v>69.059999999999988</v>
      </c>
      <c r="AS79" s="3"/>
      <c r="AT79" s="3"/>
      <c r="AU79" s="3">
        <v>64.464516129032248</v>
      </c>
      <c r="AV79" s="3">
        <v>64.464516129032248</v>
      </c>
      <c r="AW79" s="21"/>
      <c r="AX79" s="21"/>
      <c r="AY79" s="20">
        <v>41579</v>
      </c>
      <c r="AZ79">
        <v>4856.7136372106261</v>
      </c>
      <c r="BA79" s="22">
        <v>-0.17</v>
      </c>
      <c r="BB79" s="22">
        <v>-0.21</v>
      </c>
      <c r="BC79" s="30">
        <v>-1</v>
      </c>
      <c r="BD79">
        <v>28.6</v>
      </c>
      <c r="BE79">
        <v>26.34</v>
      </c>
      <c r="BF79">
        <v>21.96</v>
      </c>
      <c r="BG79" s="9"/>
      <c r="BH79" s="9"/>
      <c r="BI79" s="9"/>
      <c r="BJ79" s="9"/>
    </row>
    <row r="80" spans="1:62" ht="15" thickBot="1">
      <c r="A80" s="20">
        <v>41275</v>
      </c>
      <c r="B80" s="3">
        <v>9.9482071713147402</v>
      </c>
      <c r="F80" s="3">
        <v>5.585349462365591</v>
      </c>
      <c r="G80" s="3">
        <v>5.585349462365591</v>
      </c>
      <c r="H80" s="6"/>
      <c r="I80" s="6"/>
      <c r="J80" s="3">
        <v>6.2091633466135443</v>
      </c>
      <c r="N80" s="3">
        <v>2.5892473118279566</v>
      </c>
      <c r="O80" s="3">
        <v>2.5892473118279566</v>
      </c>
      <c r="P80" s="3">
        <v>80.663346613545812</v>
      </c>
      <c r="T80" s="3">
        <v>82.151881720430055</v>
      </c>
      <c r="U80" s="3">
        <v>82.151881720430055</v>
      </c>
      <c r="V80" s="3"/>
      <c r="W80" s="3"/>
      <c r="X80" s="3"/>
      <c r="Y80" s="3"/>
      <c r="Z80" s="3"/>
      <c r="AA80" s="3"/>
      <c r="AB80" s="3"/>
      <c r="AC80" s="3">
        <v>4.7727272727272725</v>
      </c>
      <c r="AD80" s="3"/>
      <c r="AE80" s="3"/>
      <c r="AF80" s="3"/>
      <c r="AG80" s="3">
        <v>1.903225806451613</v>
      </c>
      <c r="AH80" s="3">
        <v>1.903225806451613</v>
      </c>
      <c r="AI80" s="6"/>
      <c r="AJ80" s="6"/>
      <c r="AK80" s="3">
        <v>3.7727272727272734</v>
      </c>
      <c r="AL80" s="3"/>
      <c r="AM80" s="3"/>
      <c r="AN80" s="3"/>
      <c r="AO80" s="3">
        <v>0.19354838709677413</v>
      </c>
      <c r="AP80" s="3">
        <v>0.19354838709677413</v>
      </c>
      <c r="AQ80" s="3">
        <v>47.609090909090902</v>
      </c>
      <c r="AR80" s="3"/>
      <c r="AS80" s="3"/>
      <c r="AT80" s="3"/>
      <c r="AU80" s="3">
        <v>61.061290322580625</v>
      </c>
      <c r="AV80" s="3">
        <v>61.061290322580625</v>
      </c>
      <c r="AW80" s="21"/>
      <c r="AX80" s="21"/>
      <c r="AY80" s="20">
        <v>41609</v>
      </c>
      <c r="AZ80">
        <v>4845.9232853152052</v>
      </c>
      <c r="BA80" s="22">
        <v>-0.27</v>
      </c>
      <c r="BB80" s="22">
        <v>-0.43</v>
      </c>
      <c r="BC80" s="30">
        <v>-0.1</v>
      </c>
      <c r="BD80">
        <v>28.24</v>
      </c>
      <c r="BE80">
        <v>26.01</v>
      </c>
      <c r="BF80">
        <v>23.89</v>
      </c>
      <c r="BG80" s="9"/>
      <c r="BH80" s="9"/>
      <c r="BI80" s="9"/>
      <c r="BJ80" s="9"/>
    </row>
    <row r="81" spans="1:62" ht="15" thickBot="1">
      <c r="A81" s="20">
        <v>41306</v>
      </c>
      <c r="B81" s="3">
        <v>8.5558035714285712</v>
      </c>
      <c r="F81" s="3">
        <v>4.7425595238095237</v>
      </c>
      <c r="G81" s="3">
        <v>4.7425595238095237</v>
      </c>
      <c r="H81" s="6"/>
      <c r="I81" s="6"/>
      <c r="J81" s="3">
        <v>6.2648809523809526</v>
      </c>
      <c r="N81" s="3">
        <v>2.7516369047619085</v>
      </c>
      <c r="O81" s="3">
        <v>2.7516369047619085</v>
      </c>
      <c r="P81" s="3">
        <v>87.151934523809587</v>
      </c>
      <c r="T81" s="3">
        <v>87.619642857142736</v>
      </c>
      <c r="U81" s="3">
        <v>87.619642857142736</v>
      </c>
      <c r="V81" s="3"/>
      <c r="W81" s="3"/>
      <c r="X81" s="3"/>
      <c r="Y81" s="3"/>
      <c r="Z81" s="3"/>
      <c r="AA81" s="3"/>
      <c r="AB81" s="3"/>
      <c r="AC81" s="3">
        <v>4.4285714285714288</v>
      </c>
      <c r="AD81" s="3"/>
      <c r="AE81" s="3"/>
      <c r="AF81" s="3"/>
      <c r="AG81" s="3">
        <v>1.6607142857142858</v>
      </c>
      <c r="AH81" s="3">
        <v>1.6607142857142858</v>
      </c>
      <c r="AI81" s="6"/>
      <c r="AJ81" s="6"/>
      <c r="AK81" s="3">
        <v>3.7535714285714286</v>
      </c>
      <c r="AL81" s="3"/>
      <c r="AM81" s="3"/>
      <c r="AN81" s="3"/>
      <c r="AO81" s="3">
        <v>0.24999999999999997</v>
      </c>
      <c r="AP81" s="3">
        <v>0.24999999999999997</v>
      </c>
      <c r="AQ81" s="3">
        <v>59.707142857142848</v>
      </c>
      <c r="AR81" s="3"/>
      <c r="AS81" s="3"/>
      <c r="AT81" s="3"/>
      <c r="AU81" s="3">
        <v>69.771428571428572</v>
      </c>
      <c r="AV81" s="3">
        <v>69.771428571428572</v>
      </c>
      <c r="AW81" s="21"/>
      <c r="AX81" s="21"/>
      <c r="AY81" s="20">
        <v>41640</v>
      </c>
      <c r="AZ81">
        <v>4889.7369843631996</v>
      </c>
      <c r="BA81" s="22">
        <v>-0.42</v>
      </c>
      <c r="BB81" s="22">
        <v>-0.43</v>
      </c>
      <c r="BC81" s="30">
        <v>-0.4</v>
      </c>
      <c r="BD81">
        <v>28.01</v>
      </c>
      <c r="BE81">
        <v>26.24</v>
      </c>
      <c r="BF81">
        <v>25.37</v>
      </c>
      <c r="BG81" s="9"/>
      <c r="BH81" s="9"/>
      <c r="BI81" s="9"/>
      <c r="BJ81" s="9"/>
    </row>
    <row r="82" spans="1:62" ht="15" thickBot="1">
      <c r="A82" s="20">
        <v>41334</v>
      </c>
      <c r="B82" s="3">
        <v>8.7137096774193541</v>
      </c>
      <c r="F82" s="3">
        <v>4.716397849462366</v>
      </c>
      <c r="G82" s="3">
        <v>4.716397849462366</v>
      </c>
      <c r="H82" s="6"/>
      <c r="I82" s="6"/>
      <c r="J82" s="3">
        <v>6.5922043010752791</v>
      </c>
      <c r="N82" s="3">
        <v>2.9782258064516149</v>
      </c>
      <c r="O82" s="3">
        <v>2.9782258064516149</v>
      </c>
      <c r="P82" s="3">
        <v>87.707392473118063</v>
      </c>
      <c r="T82" s="3">
        <v>88.914247311827822</v>
      </c>
      <c r="U82" s="3">
        <v>88.914247311827822</v>
      </c>
      <c r="V82" s="3"/>
      <c r="W82" s="3"/>
      <c r="X82" s="3"/>
      <c r="Y82" s="3"/>
      <c r="Z82" s="3"/>
      <c r="AA82" s="3"/>
      <c r="AB82" s="3"/>
      <c r="AC82" s="3">
        <v>4.709677419354839</v>
      </c>
      <c r="AD82" s="3"/>
      <c r="AE82" s="3"/>
      <c r="AF82" s="3"/>
      <c r="AG82" s="3">
        <v>1.8225806451612903</v>
      </c>
      <c r="AH82" s="3">
        <v>1.8225806451612903</v>
      </c>
      <c r="AI82" s="6"/>
      <c r="AJ82" s="6"/>
      <c r="AK82" s="3">
        <v>3.9</v>
      </c>
      <c r="AL82" s="3"/>
      <c r="AM82" s="3"/>
      <c r="AN82" s="3"/>
      <c r="AO82" s="3">
        <v>0.71935483870967742</v>
      </c>
      <c r="AP82" s="3">
        <v>0.71935483870967742</v>
      </c>
      <c r="AQ82" s="3">
        <v>62.996774193548383</v>
      </c>
      <c r="AR82" s="3"/>
      <c r="AS82" s="3"/>
      <c r="AT82" s="3"/>
      <c r="AU82" s="3">
        <v>74.393548387096786</v>
      </c>
      <c r="AV82" s="3">
        <v>74.393548387096786</v>
      </c>
      <c r="AW82" s="21"/>
      <c r="AX82" s="21"/>
      <c r="AY82" s="20">
        <v>41671</v>
      </c>
      <c r="AZ82">
        <v>4890.0974387219385</v>
      </c>
      <c r="BA82" s="22">
        <v>-0.46</v>
      </c>
      <c r="BB82" s="22">
        <v>-0.34</v>
      </c>
      <c r="BC82" s="30">
        <v>2.5</v>
      </c>
      <c r="BD82">
        <v>27.95</v>
      </c>
      <c r="BE82">
        <v>27.03</v>
      </c>
      <c r="BF82">
        <v>25.81</v>
      </c>
      <c r="BG82" s="9"/>
      <c r="BH82" s="9"/>
      <c r="BI82" s="9"/>
      <c r="BJ82" s="9"/>
    </row>
    <row r="83" spans="1:62" ht="15" thickBot="1">
      <c r="A83" s="20">
        <v>41365</v>
      </c>
      <c r="B83" s="3">
        <v>9.3805555555555564</v>
      </c>
      <c r="F83" s="3">
        <v>5.334027777777778</v>
      </c>
      <c r="G83" s="3">
        <v>5.334027777777778</v>
      </c>
      <c r="H83" s="6"/>
      <c r="I83" s="6"/>
      <c r="J83" s="3">
        <v>5.1819444444444445</v>
      </c>
      <c r="N83" s="3">
        <v>1.1186111111111121</v>
      </c>
      <c r="O83" s="3">
        <v>1.1186111111111121</v>
      </c>
      <c r="P83" s="3">
        <v>78.02513888888879</v>
      </c>
      <c r="T83" s="3">
        <v>76.673749999999941</v>
      </c>
      <c r="U83" s="3">
        <v>76.673749999999941</v>
      </c>
      <c r="V83" s="3"/>
      <c r="W83" s="3"/>
      <c r="X83" s="3"/>
      <c r="Y83" s="3"/>
      <c r="Z83" s="3"/>
      <c r="AA83" s="3"/>
      <c r="AB83" s="3"/>
      <c r="AC83" s="3">
        <v>3.6166666666666667</v>
      </c>
      <c r="AD83" s="3"/>
      <c r="AE83" s="3"/>
      <c r="AF83" s="3"/>
      <c r="AG83" s="3">
        <v>1.7</v>
      </c>
      <c r="AH83" s="3">
        <v>1.7</v>
      </c>
      <c r="AI83" s="6"/>
      <c r="AJ83" s="6"/>
      <c r="AK83" s="3">
        <v>2.3566666666666665</v>
      </c>
      <c r="AL83" s="3"/>
      <c r="AM83" s="3"/>
      <c r="AN83" s="3"/>
      <c r="AO83" s="3">
        <v>-1.54</v>
      </c>
      <c r="AP83" s="3">
        <v>-1.54</v>
      </c>
      <c r="AQ83" s="3">
        <v>47.18333333333333</v>
      </c>
      <c r="AR83" s="3"/>
      <c r="AS83" s="3"/>
      <c r="AT83" s="3"/>
      <c r="AU83" s="3">
        <v>55.293333333333315</v>
      </c>
      <c r="AV83" s="3">
        <v>55.293333333333315</v>
      </c>
      <c r="AW83" s="21"/>
      <c r="AX83" s="21"/>
      <c r="AY83" s="20">
        <v>41699</v>
      </c>
      <c r="AZ83">
        <v>4859.2533105653092</v>
      </c>
      <c r="BA83" s="22">
        <v>-0.27</v>
      </c>
      <c r="BB83" s="22">
        <v>-0.3</v>
      </c>
      <c r="BC83" s="30">
        <v>0.4</v>
      </c>
      <c r="BD83">
        <v>28.36</v>
      </c>
      <c r="BE83">
        <v>27.57</v>
      </c>
      <c r="BF83">
        <v>24.31</v>
      </c>
      <c r="BG83" s="9"/>
      <c r="BH83" s="9"/>
      <c r="BI83" s="9"/>
      <c r="BJ83" s="9"/>
    </row>
    <row r="84" spans="1:62" ht="15" thickBot="1">
      <c r="A84" s="20">
        <v>41395</v>
      </c>
      <c r="B84" s="3">
        <v>8.6102150537634401</v>
      </c>
      <c r="F84" s="3">
        <v>4.7143817204301079</v>
      </c>
      <c r="G84" s="3">
        <v>4.7143817204301079</v>
      </c>
      <c r="H84" s="6"/>
      <c r="I84" s="6"/>
      <c r="J84" s="3">
        <v>4.3911290322580605</v>
      </c>
      <c r="N84" s="3">
        <v>0.93951612903225956</v>
      </c>
      <c r="O84" s="3">
        <v>0.93951612903225956</v>
      </c>
      <c r="P84" s="3">
        <v>77.481048387096664</v>
      </c>
      <c r="T84" s="3">
        <v>77.978360215053641</v>
      </c>
      <c r="U84" s="3">
        <v>77.978360215053641</v>
      </c>
      <c r="V84" s="3"/>
      <c r="W84" s="3"/>
      <c r="X84" s="3"/>
      <c r="Y84" s="3"/>
      <c r="Z84" s="3"/>
      <c r="AA84" s="3"/>
      <c r="AB84" s="3"/>
      <c r="AC84" s="3">
        <v>2.7903225806451615</v>
      </c>
      <c r="AD84" s="3"/>
      <c r="AE84" s="3"/>
      <c r="AF84" s="3"/>
      <c r="AG84" s="3">
        <v>1.2903225806451613</v>
      </c>
      <c r="AH84" s="3">
        <v>1.2903225806451613</v>
      </c>
      <c r="AI84" s="6"/>
      <c r="AJ84" s="6"/>
      <c r="AK84" s="3">
        <v>1.7580645161290327</v>
      </c>
      <c r="AL84" s="3"/>
      <c r="AM84" s="3"/>
      <c r="AN84" s="3"/>
      <c r="AO84" s="3">
        <v>-1.2999999999999998</v>
      </c>
      <c r="AP84" s="3">
        <v>-1.2999999999999998</v>
      </c>
      <c r="AQ84" s="3">
        <v>47.183870967741946</v>
      </c>
      <c r="AR84" s="3"/>
      <c r="AS84" s="3"/>
      <c r="AT84" s="3"/>
      <c r="AU84" s="3">
        <v>54.538709677419355</v>
      </c>
      <c r="AV84" s="3">
        <v>54.538709677419355</v>
      </c>
      <c r="AW84" s="21"/>
      <c r="AX84" s="21"/>
      <c r="AY84" s="20">
        <v>41730</v>
      </c>
      <c r="AZ84">
        <v>5023.0314224259155</v>
      </c>
      <c r="BA84" s="22">
        <v>0.04</v>
      </c>
      <c r="BB84" s="22">
        <v>-0.36</v>
      </c>
      <c r="BC84" s="30">
        <v>1.3</v>
      </c>
      <c r="BD84">
        <v>28.69</v>
      </c>
      <c r="BE84">
        <v>27.53</v>
      </c>
      <c r="BF84">
        <v>22.83</v>
      </c>
      <c r="BG84" s="9"/>
      <c r="BH84" s="9"/>
      <c r="BI84" s="9"/>
      <c r="BJ84" s="9"/>
    </row>
    <row r="85" spans="1:62" ht="15" thickBot="1">
      <c r="A85" s="20">
        <v>41426</v>
      </c>
      <c r="B85" s="3">
        <v>8.0798611111111107</v>
      </c>
      <c r="D85" s="3">
        <v>4.95</v>
      </c>
      <c r="E85" s="3">
        <v>3.5333333333333332</v>
      </c>
      <c r="F85" s="3">
        <v>4.2736111111111121</v>
      </c>
      <c r="G85" s="3">
        <v>4.3104166666666668</v>
      </c>
      <c r="H85" s="6"/>
      <c r="I85" s="6"/>
      <c r="J85" s="3">
        <v>1.8193055555555573</v>
      </c>
      <c r="L85" s="3">
        <v>0.80333333333333323</v>
      </c>
      <c r="M85" s="3">
        <v>-1.0566666666666664</v>
      </c>
      <c r="N85" s="3">
        <v>-0.79388888888888887</v>
      </c>
      <c r="O85" s="3">
        <v>-0.79861111111111116</v>
      </c>
      <c r="P85" s="3">
        <v>67.823194444444383</v>
      </c>
      <c r="R85" s="3">
        <v>75.070000000000022</v>
      </c>
      <c r="S85" s="3">
        <v>72.873333333333349</v>
      </c>
      <c r="T85" s="3">
        <v>72.149722222222081</v>
      </c>
      <c r="U85" s="3">
        <v>71.953749999999843</v>
      </c>
      <c r="V85" s="3"/>
      <c r="W85" s="3"/>
      <c r="X85" s="3"/>
      <c r="Y85" s="3"/>
      <c r="Z85" s="3"/>
      <c r="AA85" s="3"/>
      <c r="AB85" s="3"/>
      <c r="AC85" s="3">
        <v>1.6166666666666667</v>
      </c>
      <c r="AD85" s="3"/>
      <c r="AE85" s="3">
        <v>3.25</v>
      </c>
      <c r="AF85" s="3">
        <v>2.25</v>
      </c>
      <c r="AG85" s="3">
        <v>0.68333333333333335</v>
      </c>
      <c r="AH85" s="3">
        <v>0.68333333333333335</v>
      </c>
      <c r="AI85" s="6"/>
      <c r="AJ85" s="6"/>
      <c r="AK85" s="3">
        <v>-0.63666666666666671</v>
      </c>
      <c r="AL85" s="3"/>
      <c r="AM85" s="3">
        <v>-1.75</v>
      </c>
      <c r="AN85" s="3">
        <v>-4.2</v>
      </c>
      <c r="AO85" s="3">
        <v>-3.2866666666666666</v>
      </c>
      <c r="AP85" s="3">
        <v>-3.2866666666666666</v>
      </c>
      <c r="AQ85" s="3">
        <v>40.193333333333342</v>
      </c>
      <c r="AR85" s="3"/>
      <c r="AS85" s="3">
        <v>60.25</v>
      </c>
      <c r="AT85" s="3">
        <v>54.1</v>
      </c>
      <c r="AU85" s="3">
        <v>48.34</v>
      </c>
      <c r="AV85" s="3">
        <v>48.34</v>
      </c>
      <c r="AX85">
        <v>1.93663694752727</v>
      </c>
      <c r="AY85" s="20">
        <v>41760</v>
      </c>
      <c r="AZ85">
        <v>4995.6897605167032</v>
      </c>
      <c r="BA85" s="22">
        <v>0.21</v>
      </c>
      <c r="BB85" s="22">
        <v>-0.41</v>
      </c>
      <c r="BC85" s="30">
        <v>2</v>
      </c>
      <c r="BD85">
        <v>28.77</v>
      </c>
      <c r="BE85">
        <v>27.3</v>
      </c>
      <c r="BF85">
        <v>21.22</v>
      </c>
      <c r="BG85" s="9"/>
      <c r="BH85" s="9"/>
      <c r="BI85" s="9"/>
      <c r="BJ85" s="9"/>
    </row>
    <row r="86" spans="1:62" ht="15" thickBot="1">
      <c r="A86" s="20">
        <v>41456</v>
      </c>
      <c r="B86" s="3">
        <v>8.4751344086021501</v>
      </c>
      <c r="D86" s="3">
        <v>5.690860215053763</v>
      </c>
      <c r="E86" s="3">
        <v>3.870295698924731</v>
      </c>
      <c r="F86" s="3">
        <v>2.2768817204301075</v>
      </c>
      <c r="G86" s="3">
        <v>3.651209677419355</v>
      </c>
      <c r="H86" s="6">
        <f t="shared" si="4"/>
        <v>4851.8952956094663</v>
      </c>
      <c r="I86" s="6">
        <f t="shared" si="5"/>
        <v>7.7949041098793845</v>
      </c>
      <c r="J86" s="3">
        <v>-0.60483870967741948</v>
      </c>
      <c r="L86" s="3">
        <v>-0.18252688172043055</v>
      </c>
      <c r="M86" s="3">
        <v>-2.3168010752688182</v>
      </c>
      <c r="N86" s="3">
        <v>-2.3545698924731169</v>
      </c>
      <c r="O86" s="3">
        <v>-2.9259408602150532</v>
      </c>
      <c r="P86" s="3">
        <v>56.804032258064339</v>
      </c>
      <c r="R86" s="3">
        <v>67.835887096774002</v>
      </c>
      <c r="S86" s="3">
        <v>66.493145161290158</v>
      </c>
      <c r="T86" s="3">
        <v>72.935349462365565</v>
      </c>
      <c r="U86" s="3">
        <v>65.484139784946109</v>
      </c>
      <c r="V86" s="3"/>
      <c r="W86" s="3"/>
      <c r="X86" s="3"/>
      <c r="Y86" s="3"/>
      <c r="Z86" s="3"/>
      <c r="AA86" s="3"/>
      <c r="AB86" s="3"/>
      <c r="AC86" s="3">
        <v>2.2580645161290325</v>
      </c>
      <c r="AD86" s="3"/>
      <c r="AE86" s="3">
        <v>2.161290322580645</v>
      </c>
      <c r="AF86" s="3">
        <v>0.967741935483871</v>
      </c>
      <c r="AG86" s="3">
        <v>-0.31612903225806455</v>
      </c>
      <c r="AH86" s="3">
        <v>-0.11290322580645161</v>
      </c>
      <c r="AI86" s="6">
        <f t="shared" ref="AI86:AI149" si="8">INTERCEPT($C$2:$F$2,AD86:AG86)</f>
        <v>4511.2353557903489</v>
      </c>
      <c r="AJ86" s="6">
        <f t="shared" ref="AJ86:AJ149" si="9">-SLOPE(AD86:AG86,$C$2:$F$2)*1000</f>
        <v>5.6441257921001675</v>
      </c>
      <c r="AK86" s="3">
        <v>-3.4225806451612901</v>
      </c>
      <c r="AL86" s="3"/>
      <c r="AM86" s="3">
        <v>-2.738709677419354</v>
      </c>
      <c r="AN86" s="3">
        <v>-4.5774193548387094</v>
      </c>
      <c r="AO86" s="3">
        <v>-6.0096774193548388</v>
      </c>
      <c r="AP86" s="3">
        <v>-6.0096774193548388</v>
      </c>
      <c r="AQ86" s="3">
        <v>34.222580645161294</v>
      </c>
      <c r="AR86" s="3"/>
      <c r="AS86" s="3">
        <v>52.338709677419352</v>
      </c>
      <c r="AT86" s="3">
        <v>49.145161290322591</v>
      </c>
      <c r="AU86" s="3">
        <v>51.006451612903234</v>
      </c>
      <c r="AV86" s="3">
        <v>42.812903225806451</v>
      </c>
      <c r="AW86">
        <v>4804.6444746480001</v>
      </c>
      <c r="AX86">
        <v>1.61446386916935</v>
      </c>
      <c r="AY86" s="20">
        <v>41791</v>
      </c>
      <c r="AZ86">
        <v>5009.2188235655767</v>
      </c>
      <c r="BA86" s="22">
        <v>0.16</v>
      </c>
      <c r="BB86" s="22">
        <v>-0.4</v>
      </c>
      <c r="BC86" s="30">
        <v>1.3</v>
      </c>
      <c r="BD86">
        <v>28.66</v>
      </c>
      <c r="BE86">
        <v>26.91</v>
      </c>
      <c r="BF86">
        <v>20.36</v>
      </c>
      <c r="BG86" s="9"/>
      <c r="BH86" s="9"/>
      <c r="BI86" s="9"/>
      <c r="BJ86" s="9"/>
    </row>
    <row r="87" spans="1:62" ht="15" thickBot="1">
      <c r="A87" s="20">
        <v>41487</v>
      </c>
      <c r="B87" s="3">
        <v>8.20497311827957</v>
      </c>
      <c r="D87" s="3">
        <v>6.390456989247312</v>
      </c>
      <c r="E87" s="3">
        <v>4.415322580645161</v>
      </c>
      <c r="F87" s="3">
        <v>2.6630376344086035</v>
      </c>
      <c r="G87" s="3">
        <v>4.239247311827957</v>
      </c>
      <c r="H87" s="6">
        <f t="shared" si="4"/>
        <v>4873.2728172545831</v>
      </c>
      <c r="I87" s="6">
        <f t="shared" si="5"/>
        <v>8.5093400447051621</v>
      </c>
      <c r="J87" s="3">
        <v>0.95981182795698938</v>
      </c>
      <c r="L87" s="3">
        <v>0.92325268817204376</v>
      </c>
      <c r="M87" s="3">
        <v>-1.136155913978496</v>
      </c>
      <c r="N87" s="3">
        <v>-1.2319892473118275</v>
      </c>
      <c r="O87" s="3">
        <v>-1.7883064516129035</v>
      </c>
      <c r="P87" s="3">
        <v>64.827553763440861</v>
      </c>
      <c r="R87" s="3">
        <v>70.28185483870962</v>
      </c>
      <c r="S87" s="3">
        <v>69.32580645161282</v>
      </c>
      <c r="T87" s="3">
        <v>75.874999999999943</v>
      </c>
      <c r="U87" s="3">
        <v>67.816397849462319</v>
      </c>
      <c r="V87" s="3"/>
      <c r="W87" s="3"/>
      <c r="X87" s="3"/>
      <c r="Y87" s="3"/>
      <c r="Z87" s="3"/>
      <c r="AA87" s="3"/>
      <c r="AB87" s="3"/>
      <c r="AC87" s="3">
        <v>1.1290322580645162</v>
      </c>
      <c r="AD87" s="3"/>
      <c r="AE87" s="3">
        <v>2.032258064516129</v>
      </c>
      <c r="AF87" s="3">
        <v>1.0161290322580645</v>
      </c>
      <c r="AG87" s="3">
        <v>-0.19354838709677419</v>
      </c>
      <c r="AH87" s="3">
        <v>9.6774193548387094E-2</v>
      </c>
      <c r="AI87" s="6">
        <f t="shared" si="8"/>
        <v>4532.1106222501576</v>
      </c>
      <c r="AJ87" s="6">
        <f t="shared" si="9"/>
        <v>5.0654334125386864</v>
      </c>
      <c r="AK87" s="3">
        <v>-1.235483870967742</v>
      </c>
      <c r="AL87" s="3"/>
      <c r="AM87" s="3">
        <v>-1.4161290322580646</v>
      </c>
      <c r="AN87" s="3">
        <v>-3.3903225806451611</v>
      </c>
      <c r="AO87" s="3">
        <v>-4.6935483870967731</v>
      </c>
      <c r="AP87" s="3">
        <v>-4.6935483870967731</v>
      </c>
      <c r="AQ87" s="3">
        <v>35.035483870967745</v>
      </c>
      <c r="AR87" s="3"/>
      <c r="AS87" s="3">
        <v>48.448387096774198</v>
      </c>
      <c r="AT87" s="3">
        <v>49.174193548387095</v>
      </c>
      <c r="AU87" s="3">
        <v>52.125806451612917</v>
      </c>
      <c r="AV87" s="3">
        <v>42.148387096774201</v>
      </c>
      <c r="AW87">
        <v>4987.297734664</v>
      </c>
      <c r="AX87">
        <v>1.67583929256183</v>
      </c>
      <c r="AY87" s="20">
        <v>41821</v>
      </c>
      <c r="AZ87">
        <v>4874.087959399486</v>
      </c>
      <c r="BA87" s="22">
        <v>0.05</v>
      </c>
      <c r="BB87" s="22">
        <v>-0.32</v>
      </c>
      <c r="BC87" s="30">
        <v>0.3</v>
      </c>
      <c r="BD87">
        <v>28.61</v>
      </c>
      <c r="BE87">
        <v>26.47</v>
      </c>
      <c r="BF87">
        <v>19.850000000000001</v>
      </c>
      <c r="BG87" s="9"/>
      <c r="BH87" s="9"/>
      <c r="BI87" s="9"/>
      <c r="BJ87" s="9"/>
    </row>
    <row r="88" spans="1:62" ht="15" thickBot="1">
      <c r="A88" s="20">
        <v>41518</v>
      </c>
      <c r="B88" s="3">
        <v>9.4437499999999996</v>
      </c>
      <c r="D88" s="3">
        <v>7.5083333333333337</v>
      </c>
      <c r="E88" s="3">
        <v>5.2208333333333332</v>
      </c>
      <c r="F88" s="3">
        <v>3.1686111111111126</v>
      </c>
      <c r="G88" s="3">
        <v>5.104166666666667</v>
      </c>
      <c r="H88" s="6">
        <f t="shared" si="4"/>
        <v>4880.6047143596879</v>
      </c>
      <c r="I88" s="6">
        <f t="shared" si="5"/>
        <v>9.9059938953244</v>
      </c>
      <c r="J88" s="3">
        <v>1.3844444444444437</v>
      </c>
      <c r="L88" s="3">
        <v>1.2605555555555545</v>
      </c>
      <c r="M88" s="3">
        <v>-0.85458333333333236</v>
      </c>
      <c r="N88" s="3">
        <v>-0.48944444444444685</v>
      </c>
      <c r="O88" s="3">
        <v>-1.2531944444444432</v>
      </c>
      <c r="P88" s="3">
        <v>62.163472222222211</v>
      </c>
      <c r="R88" s="3">
        <v>67.46750000000003</v>
      </c>
      <c r="S88" s="3">
        <v>67.476805555555629</v>
      </c>
      <c r="T88" s="3">
        <v>77.263055555555653</v>
      </c>
      <c r="U88" s="3">
        <v>66.819027777777819</v>
      </c>
      <c r="V88" s="3"/>
      <c r="W88" s="3"/>
      <c r="X88" s="3"/>
      <c r="Y88" s="3"/>
      <c r="Z88" s="3"/>
      <c r="AA88" s="3"/>
      <c r="AB88" s="3"/>
      <c r="AC88" s="3">
        <v>1.9833333333333334</v>
      </c>
      <c r="AD88" s="3"/>
      <c r="AE88" s="3">
        <v>2.5833333333333335</v>
      </c>
      <c r="AF88" s="3">
        <v>1.6833333333333333</v>
      </c>
      <c r="AG88" s="3">
        <v>0.52999999999999992</v>
      </c>
      <c r="AH88" s="3">
        <v>0.76666666666666672</v>
      </c>
      <c r="AI88" s="6">
        <f t="shared" si="8"/>
        <v>4684.1144331482756</v>
      </c>
      <c r="AJ88" s="6">
        <f t="shared" si="9"/>
        <v>4.6692902273521248</v>
      </c>
      <c r="AK88" s="3">
        <v>-1.4700000000000009</v>
      </c>
      <c r="AL88" s="3"/>
      <c r="AM88" s="3">
        <v>-1.7400000000000004</v>
      </c>
      <c r="AN88" s="3">
        <v>-3.3066666666666671</v>
      </c>
      <c r="AO88" s="3">
        <v>-4.1799999999999988</v>
      </c>
      <c r="AP88" s="3">
        <v>-4.1799999999999988</v>
      </c>
      <c r="AQ88" s="3">
        <v>30.806666666666661</v>
      </c>
      <c r="AR88" s="3"/>
      <c r="AS88" s="3">
        <v>42.753333333333345</v>
      </c>
      <c r="AT88" s="3">
        <v>45.50333333333333</v>
      </c>
      <c r="AU88" s="3">
        <v>51.610000000000007</v>
      </c>
      <c r="AV88" s="3">
        <v>39.75333333333333</v>
      </c>
      <c r="AW88">
        <v>4933.1998875669997</v>
      </c>
      <c r="AX88">
        <v>1.7129166276274299</v>
      </c>
      <c r="AY88" s="20">
        <v>41852</v>
      </c>
      <c r="AZ88" s="21">
        <v>4835.9552889260249</v>
      </c>
      <c r="BA88" s="22">
        <v>7.0000000000000007E-2</v>
      </c>
      <c r="BB88" s="22">
        <v>-0.26</v>
      </c>
      <c r="BC88" s="30">
        <v>0.5</v>
      </c>
      <c r="BD88">
        <v>28.65</v>
      </c>
      <c r="BE88">
        <v>26.54</v>
      </c>
      <c r="BF88">
        <v>19.95</v>
      </c>
      <c r="BG88" s="9"/>
      <c r="BH88" s="9"/>
      <c r="BI88" s="9"/>
      <c r="BJ88" s="9"/>
    </row>
    <row r="89" spans="1:62" ht="15" thickBot="1">
      <c r="A89" s="20">
        <v>41548</v>
      </c>
      <c r="B89" s="3">
        <v>8.7896505376344081</v>
      </c>
      <c r="D89" s="3">
        <v>6.754032258064516</v>
      </c>
      <c r="E89" s="3">
        <v>4.540994623655914</v>
      </c>
      <c r="F89" s="3">
        <v>2.8849462365591423</v>
      </c>
      <c r="G89" s="3">
        <v>4.598790322580645</v>
      </c>
      <c r="H89" s="6">
        <f t="shared" si="4"/>
        <v>4878.7072478178043</v>
      </c>
      <c r="I89" s="6">
        <f t="shared" si="5"/>
        <v>8.8485739267741863</v>
      </c>
      <c r="J89" s="3">
        <v>4.6938172043010766</v>
      </c>
      <c r="L89" s="3">
        <v>4.0424731182795757</v>
      </c>
      <c r="M89" s="3">
        <v>1.908467741935481</v>
      </c>
      <c r="N89" s="3">
        <v>2.3137096774193551</v>
      </c>
      <c r="O89" s="3">
        <v>1.6317204301075263</v>
      </c>
      <c r="P89" s="3">
        <v>78.676612903225717</v>
      </c>
      <c r="R89" s="3">
        <v>84.07997311827954</v>
      </c>
      <c r="S89" s="3">
        <v>83.926075268817172</v>
      </c>
      <c r="T89" s="3">
        <v>90.232661290322525</v>
      </c>
      <c r="U89" s="3">
        <v>82.316666666666563</v>
      </c>
      <c r="V89" s="3"/>
      <c r="W89" s="3"/>
      <c r="X89" s="3"/>
      <c r="Y89" s="3"/>
      <c r="Z89" s="3"/>
      <c r="AA89" s="3"/>
      <c r="AB89" s="3"/>
      <c r="AC89" s="3">
        <v>3.5483870967741935</v>
      </c>
      <c r="AD89" s="3"/>
      <c r="AE89" s="3">
        <v>2.7580645161290325</v>
      </c>
      <c r="AF89" s="3">
        <v>1.7258064516129032</v>
      </c>
      <c r="AG89" s="3">
        <v>0.33225806451612888</v>
      </c>
      <c r="AH89" s="3">
        <v>1.1451612903225807</v>
      </c>
      <c r="AI89" s="6">
        <f t="shared" si="8"/>
        <v>4632.4903198022766</v>
      </c>
      <c r="AJ89" s="6">
        <f t="shared" si="9"/>
        <v>5.5132835950886285</v>
      </c>
      <c r="AK89" s="3">
        <v>2.3967741935483868</v>
      </c>
      <c r="AL89" s="3"/>
      <c r="AM89" s="3">
        <v>1.554838709677419</v>
      </c>
      <c r="AN89" s="3">
        <v>0.14516129032258066</v>
      </c>
      <c r="AO89" s="3">
        <v>-0.66129032258064491</v>
      </c>
      <c r="AP89" s="3">
        <v>-0.66129032258064491</v>
      </c>
      <c r="AQ89" s="3">
        <v>46.187096774193556</v>
      </c>
      <c r="AR89" s="3"/>
      <c r="AS89" s="3">
        <v>63.135483870967747</v>
      </c>
      <c r="AT89" s="3">
        <v>66.470967741935496</v>
      </c>
      <c r="AU89" s="3">
        <v>72.848387096774189</v>
      </c>
      <c r="AV89" s="3">
        <v>61.435483870967737</v>
      </c>
      <c r="AW89">
        <v>6721.8750176800004</v>
      </c>
      <c r="AX89">
        <v>2.2586945623924701</v>
      </c>
      <c r="AY89" s="20">
        <v>41883</v>
      </c>
      <c r="AZ89" s="21">
        <v>4883.134745788213</v>
      </c>
      <c r="BA89" s="22">
        <v>0.23</v>
      </c>
      <c r="BB89" s="22">
        <v>-0.18</v>
      </c>
      <c r="BC89" s="30">
        <v>-0.1</v>
      </c>
      <c r="BD89">
        <v>28.72</v>
      </c>
      <c r="BE89">
        <v>26.52</v>
      </c>
      <c r="BF89">
        <v>20.27</v>
      </c>
      <c r="BG89" s="9"/>
      <c r="BH89" s="9"/>
      <c r="BI89" s="9"/>
      <c r="BJ89" s="9"/>
    </row>
    <row r="90" spans="1:62" ht="15" thickBot="1">
      <c r="A90" s="20">
        <v>41579</v>
      </c>
      <c r="B90" s="3">
        <v>7.6388888888888893</v>
      </c>
      <c r="D90" s="3">
        <v>6.6180555555555554</v>
      </c>
      <c r="E90" s="3">
        <v>4.4555555555555557</v>
      </c>
      <c r="F90" s="3">
        <v>2.6906944444444449</v>
      </c>
      <c r="G90" s="3">
        <v>4.646527777777778</v>
      </c>
      <c r="H90" s="6">
        <f t="shared" si="4"/>
        <v>4856.7136372106261</v>
      </c>
      <c r="I90" s="6">
        <f t="shared" si="5"/>
        <v>8.9736991318805792</v>
      </c>
      <c r="J90" s="3">
        <v>3.5408333333333291</v>
      </c>
      <c r="L90" s="3">
        <v>3.5438888888888882</v>
      </c>
      <c r="M90" s="3">
        <v>1.2647222222222219</v>
      </c>
      <c r="N90" s="3">
        <v>1.7291666666666674</v>
      </c>
      <c r="O90" s="3">
        <v>0.94986111111111049</v>
      </c>
      <c r="P90" s="3">
        <v>78.325416666666655</v>
      </c>
      <c r="R90" s="3">
        <v>82.248888888888871</v>
      </c>
      <c r="S90" s="3">
        <v>81.063749999999786</v>
      </c>
      <c r="T90" s="3">
        <v>87.593611111111016</v>
      </c>
      <c r="U90" s="3">
        <v>78.6724999999999</v>
      </c>
      <c r="V90" s="3"/>
      <c r="W90" s="3"/>
      <c r="X90" s="3"/>
      <c r="Y90" s="3"/>
      <c r="Z90" s="3"/>
      <c r="AA90" s="3"/>
      <c r="AB90" s="3"/>
      <c r="AC90" s="3">
        <v>1.9166666666666667</v>
      </c>
      <c r="AD90" s="3"/>
      <c r="AE90" s="3">
        <v>2.2166666666666668</v>
      </c>
      <c r="AF90" s="3">
        <v>1.5</v>
      </c>
      <c r="AG90" s="3">
        <v>-0.59666666666666679</v>
      </c>
      <c r="AH90" s="3">
        <v>0.73333333333333328</v>
      </c>
      <c r="AI90" s="6">
        <f t="shared" si="8"/>
        <v>4493.992647734106</v>
      </c>
      <c r="AJ90" s="6">
        <f t="shared" si="9"/>
        <v>6.347351105990465</v>
      </c>
      <c r="AK90" s="3">
        <v>0.58000000000000018</v>
      </c>
      <c r="AL90" s="3"/>
      <c r="AM90" s="3">
        <v>0.52666666666666662</v>
      </c>
      <c r="AN90" s="3">
        <v>-1.1866666666666665</v>
      </c>
      <c r="AO90" s="3">
        <v>-2.1700000000000004</v>
      </c>
      <c r="AP90" s="3">
        <v>-2.1700000000000004</v>
      </c>
      <c r="AQ90" s="3">
        <v>48.876666666666679</v>
      </c>
      <c r="AR90" s="3"/>
      <c r="AS90" s="3">
        <v>60.983333333333334</v>
      </c>
      <c r="AT90" s="3">
        <v>64.936666666666667</v>
      </c>
      <c r="AU90" s="3">
        <v>65.900000000000006</v>
      </c>
      <c r="AV90" s="3">
        <v>57.766666666666666</v>
      </c>
      <c r="AW90">
        <v>6637.9653053149996</v>
      </c>
      <c r="AX90">
        <v>2.3048490643454902</v>
      </c>
      <c r="AY90" s="20">
        <v>41913</v>
      </c>
      <c r="AZ90" s="21">
        <v>4874.1830460895926</v>
      </c>
      <c r="BA90" s="22">
        <v>0.49</v>
      </c>
      <c r="BB90" s="22">
        <v>-0.17</v>
      </c>
      <c r="BC90" s="30">
        <v>1.2</v>
      </c>
      <c r="BD90">
        <v>28.74</v>
      </c>
      <c r="BE90">
        <v>26.56</v>
      </c>
      <c r="BF90">
        <v>21.09</v>
      </c>
      <c r="BG90" s="9"/>
      <c r="BH90" s="9"/>
      <c r="BI90" s="9"/>
      <c r="BJ90" s="9"/>
    </row>
    <row r="91" spans="1:62" ht="15" thickBot="1">
      <c r="A91" s="20">
        <v>41609</v>
      </c>
      <c r="B91" s="3">
        <v>8.570564516129032</v>
      </c>
      <c r="D91" s="3">
        <v>7.331989247311828</v>
      </c>
      <c r="E91" s="3">
        <v>4.808467741935484</v>
      </c>
      <c r="F91" s="3">
        <v>2.94771505376344</v>
      </c>
      <c r="G91" s="3">
        <v>5.114247311827957</v>
      </c>
      <c r="H91" s="6">
        <f t="shared" si="4"/>
        <v>4845.9232853152052</v>
      </c>
      <c r="I91" s="6">
        <f t="shared" si="5"/>
        <v>10.028341772923714</v>
      </c>
      <c r="J91" s="3">
        <v>5.1919354838709726</v>
      </c>
      <c r="L91" s="3">
        <v>4.513709677419353</v>
      </c>
      <c r="M91" s="3">
        <v>2.2294354838709634</v>
      </c>
      <c r="N91" s="3">
        <v>2.5377688172043018</v>
      </c>
      <c r="O91" s="3">
        <v>1.8072580645161282</v>
      </c>
      <c r="P91" s="3">
        <v>81.956854838709774</v>
      </c>
      <c r="R91" s="3">
        <v>84.055645161290201</v>
      </c>
      <c r="S91" s="3">
        <v>84.481182795698842</v>
      </c>
      <c r="T91" s="3">
        <v>89.681854838709583</v>
      </c>
      <c r="U91" s="3">
        <v>81.216263440860104</v>
      </c>
      <c r="V91" s="3"/>
      <c r="W91" s="3"/>
      <c r="X91" s="3"/>
      <c r="Y91" s="3"/>
      <c r="Z91" s="3"/>
      <c r="AA91" s="3"/>
      <c r="AB91" s="3"/>
      <c r="AC91" s="3">
        <v>3.4838709677419355</v>
      </c>
      <c r="AD91" s="3"/>
      <c r="AE91" s="3">
        <v>3</v>
      </c>
      <c r="AF91" s="3">
        <v>1.8870967741935485</v>
      </c>
      <c r="AG91" s="3">
        <v>-0.61612903225806448</v>
      </c>
      <c r="AH91" s="3">
        <v>1.3709677419354838</v>
      </c>
      <c r="AI91" s="6">
        <f t="shared" si="8"/>
        <v>4508.6613197616398</v>
      </c>
      <c r="AJ91" s="6">
        <f t="shared" si="9"/>
        <v>8.1772231139323459</v>
      </c>
      <c r="AK91" s="3">
        <v>2.4967741935483874</v>
      </c>
      <c r="AL91" s="3"/>
      <c r="AM91" s="3">
        <v>1.7096774193548385</v>
      </c>
      <c r="AN91" s="3">
        <v>0.19354838709677419</v>
      </c>
      <c r="AO91" s="3">
        <v>-0.71290322580645182</v>
      </c>
      <c r="AP91" s="3">
        <v>-0.71290322580645182</v>
      </c>
      <c r="AQ91" s="3">
        <v>53.561290322580646</v>
      </c>
      <c r="AR91" s="3"/>
      <c r="AS91" s="3">
        <v>61.819354838709678</v>
      </c>
      <c r="AT91" s="3">
        <v>68.706451612903223</v>
      </c>
      <c r="AU91" s="3">
        <v>69.877419354838707</v>
      </c>
      <c r="AV91" s="3">
        <v>60.461290322580666</v>
      </c>
      <c r="AW91">
        <v>8900.3584317490004</v>
      </c>
      <c r="AX91">
        <v>2.99071183862534</v>
      </c>
      <c r="AY91" s="20">
        <v>41944</v>
      </c>
      <c r="AZ91" s="21">
        <v>5030.3684494826311</v>
      </c>
      <c r="BA91" s="26">
        <v>0.64</v>
      </c>
      <c r="BB91" s="22">
        <v>-0.27</v>
      </c>
      <c r="BC91" s="30">
        <v>0.1</v>
      </c>
      <c r="BD91">
        <v>28.48</v>
      </c>
      <c r="BE91">
        <v>26.43</v>
      </c>
      <c r="BF91">
        <v>22.37</v>
      </c>
      <c r="BG91" s="9"/>
      <c r="BH91" s="9"/>
      <c r="BI91" s="9"/>
      <c r="BJ91" s="9"/>
    </row>
    <row r="92" spans="1:62" ht="15" thickBot="1">
      <c r="A92" s="20">
        <v>41640</v>
      </c>
      <c r="B92" s="3">
        <v>8.318548387096774</v>
      </c>
      <c r="D92" s="3">
        <v>6.797043010752688</v>
      </c>
      <c r="E92" s="3">
        <v>4.57258064516129</v>
      </c>
      <c r="F92" s="3">
        <v>2.9694892473118282</v>
      </c>
      <c r="G92" s="3">
        <v>4.788978494623656</v>
      </c>
      <c r="H92" s="6">
        <f t="shared" si="4"/>
        <v>4889.7369843631996</v>
      </c>
      <c r="I92" s="6">
        <f t="shared" si="5"/>
        <v>8.7570083639150482</v>
      </c>
      <c r="J92" s="3">
        <v>5.4305107526881784</v>
      </c>
      <c r="L92" s="3">
        <v>4.5298387096774162</v>
      </c>
      <c r="M92" s="3">
        <v>2.3419354838709667</v>
      </c>
      <c r="N92" s="3">
        <v>2.6118279569892469</v>
      </c>
      <c r="O92" s="3">
        <v>1.9657258064516134</v>
      </c>
      <c r="P92" s="3">
        <v>84.126075268817146</v>
      </c>
      <c r="R92" s="3">
        <v>86.574193548387129</v>
      </c>
      <c r="S92" s="3">
        <v>86.28306451612886</v>
      </c>
      <c r="T92" s="3">
        <v>90.541263440860078</v>
      </c>
      <c r="U92" s="3">
        <v>83.501075268817061</v>
      </c>
      <c r="V92" s="3"/>
      <c r="W92" s="3"/>
      <c r="X92" s="3"/>
      <c r="Y92" s="3"/>
      <c r="Z92" s="3"/>
      <c r="AA92" s="3"/>
      <c r="AB92" s="3"/>
      <c r="AC92" s="3">
        <v>3.693548387096774</v>
      </c>
      <c r="AD92" s="3"/>
      <c r="AE92" s="3">
        <v>2.967741935483871</v>
      </c>
      <c r="AF92" s="3">
        <v>1.903225806451613</v>
      </c>
      <c r="AG92" s="3">
        <v>2.9032258064516175E-2</v>
      </c>
      <c r="AH92" s="3">
        <v>1.3064516129032258</v>
      </c>
      <c r="AI92" s="6">
        <f t="shared" si="8"/>
        <v>4581.7048712689466</v>
      </c>
      <c r="AJ92" s="6">
        <f t="shared" si="9"/>
        <v>6.6609178790578376</v>
      </c>
      <c r="AK92" s="3">
        <v>2.790322580645161</v>
      </c>
      <c r="AL92" s="3"/>
      <c r="AM92" s="3">
        <v>1.758064516129032</v>
      </c>
      <c r="AN92" s="3">
        <v>0.30000000000000004</v>
      </c>
      <c r="AO92" s="3">
        <v>-0.6</v>
      </c>
      <c r="AP92" s="3">
        <v>-0.63548387096774184</v>
      </c>
      <c r="AQ92" s="3">
        <v>55.529032258064525</v>
      </c>
      <c r="AR92" s="3"/>
      <c r="AS92" s="3">
        <v>66.954838709677432</v>
      </c>
      <c r="AT92" s="3">
        <v>71.819354838709671</v>
      </c>
      <c r="AU92" s="3">
        <v>74.529032258064504</v>
      </c>
      <c r="AV92" s="3">
        <v>64.387096774193537</v>
      </c>
      <c r="AW92">
        <v>9736.7747306410001</v>
      </c>
      <c r="AX92">
        <v>3.2717657025003399</v>
      </c>
      <c r="AY92" s="20">
        <v>41974</v>
      </c>
      <c r="AZ92" s="21">
        <v>4993.265624764208</v>
      </c>
      <c r="BA92" s="26">
        <v>0.66</v>
      </c>
      <c r="BB92" s="22">
        <v>-0.42</v>
      </c>
      <c r="BC92" s="30">
        <v>2.4</v>
      </c>
      <c r="BD92">
        <v>28.14</v>
      </c>
      <c r="BE92">
        <v>26.05</v>
      </c>
      <c r="BF92">
        <v>24.56</v>
      </c>
      <c r="BG92" s="9"/>
      <c r="BH92" s="9"/>
      <c r="BI92" s="9"/>
      <c r="BJ92" s="9"/>
    </row>
    <row r="93" spans="1:62" ht="15" thickBot="1">
      <c r="A93" s="20">
        <v>41671</v>
      </c>
      <c r="B93" s="3">
        <v>8.5997023809523814</v>
      </c>
      <c r="D93" s="3">
        <v>6.5617559523809526</v>
      </c>
      <c r="E93" s="3">
        <v>4.3898809523809526</v>
      </c>
      <c r="F93" s="3">
        <v>2.8782738095238138</v>
      </c>
      <c r="G93" s="3">
        <v>4.5215773809523814</v>
      </c>
      <c r="H93" s="6">
        <f t="shared" si="4"/>
        <v>4890.0974387219385</v>
      </c>
      <c r="I93" s="6">
        <f t="shared" si="5"/>
        <v>8.4304149732339209</v>
      </c>
      <c r="J93" s="3">
        <v>6.0370535714285873</v>
      </c>
      <c r="L93" s="3">
        <v>4.9308035714285712</v>
      </c>
      <c r="M93" s="3">
        <v>2.8691964285714295</v>
      </c>
      <c r="N93" s="3">
        <v>3.2394345238095279</v>
      </c>
      <c r="O93" s="3">
        <v>2.6188988095238126</v>
      </c>
      <c r="P93" s="3">
        <v>85.43601190476177</v>
      </c>
      <c r="R93" s="3">
        <v>89.869345238095121</v>
      </c>
      <c r="S93" s="3">
        <v>90.120833333333337</v>
      </c>
      <c r="T93" s="3">
        <v>94.331250000000082</v>
      </c>
      <c r="U93" s="3">
        <v>87.996279761904788</v>
      </c>
      <c r="V93" s="3"/>
      <c r="W93" s="3"/>
      <c r="X93" s="3"/>
      <c r="Y93" s="3"/>
      <c r="Z93" s="3"/>
      <c r="AA93" s="3"/>
      <c r="AB93" s="3"/>
      <c r="AC93" s="3">
        <v>4.3035714285714288</v>
      </c>
      <c r="AD93" s="3"/>
      <c r="AE93" s="3">
        <v>2.8928571428571428</v>
      </c>
      <c r="AF93" s="3">
        <v>1.875</v>
      </c>
      <c r="AG93" s="3">
        <v>0.27857142857142858</v>
      </c>
      <c r="AH93" s="3">
        <v>1.3392857142857142</v>
      </c>
      <c r="AI93" s="6">
        <f t="shared" si="8"/>
        <v>4621.6595271148717</v>
      </c>
      <c r="AJ93" s="6">
        <f t="shared" si="9"/>
        <v>5.9324596724217775</v>
      </c>
      <c r="AK93" s="3">
        <v>3.4999999999999991</v>
      </c>
      <c r="AL93" s="3"/>
      <c r="AM93" s="3">
        <v>2.1821428571428569</v>
      </c>
      <c r="AN93" s="3">
        <v>0.92499999999999993</v>
      </c>
      <c r="AO93" s="3">
        <v>0.28214285714285731</v>
      </c>
      <c r="AP93" s="3">
        <v>0.28214285714285731</v>
      </c>
      <c r="AQ93" s="3">
        <v>56.942857142857143</v>
      </c>
      <c r="AR93" s="3"/>
      <c r="AS93" s="3">
        <v>71.86071428571428</v>
      </c>
      <c r="AT93" s="3">
        <v>77.18214285714285</v>
      </c>
      <c r="AU93" s="3">
        <v>81.053571428571445</v>
      </c>
      <c r="AV93" s="3">
        <v>70.946428571428569</v>
      </c>
      <c r="AW93">
        <v>9908.1872725310004</v>
      </c>
      <c r="AX93">
        <v>3.6860815746023099</v>
      </c>
      <c r="AY93" s="20">
        <v>42005</v>
      </c>
      <c r="AZ93" s="21">
        <v>4912.0513329955375</v>
      </c>
      <c r="BA93" s="26">
        <v>0.55000000000000004</v>
      </c>
      <c r="BB93" s="22">
        <v>-0.46</v>
      </c>
      <c r="BC93" s="30">
        <v>0.1</v>
      </c>
      <c r="BD93">
        <v>28.27</v>
      </c>
      <c r="BE93">
        <v>26.14</v>
      </c>
      <c r="BF93">
        <v>25.49</v>
      </c>
      <c r="BG93" s="9"/>
      <c r="BH93" s="9"/>
      <c r="BI93" s="9"/>
      <c r="BJ93" s="9"/>
    </row>
    <row r="94" spans="1:62" ht="15" thickBot="1">
      <c r="A94" s="20">
        <v>41699</v>
      </c>
      <c r="B94" s="3">
        <v>8.036962365591398</v>
      </c>
      <c r="D94" s="3">
        <v>6.230510752688172</v>
      </c>
      <c r="E94" s="3">
        <v>4.032930107526882</v>
      </c>
      <c r="F94" s="3">
        <v>2.6095430107526894</v>
      </c>
      <c r="G94" s="3">
        <v>4.073924731182796</v>
      </c>
      <c r="H94" s="6">
        <f t="shared" si="4"/>
        <v>4859.2533105653092</v>
      </c>
      <c r="I94" s="6">
        <f t="shared" si="5"/>
        <v>8.2934172090624987</v>
      </c>
      <c r="J94" s="3">
        <v>5.9994623655913992</v>
      </c>
      <c r="L94" s="3">
        <v>4.9694892473118308</v>
      </c>
      <c r="M94" s="3">
        <v>2.7388440860215049</v>
      </c>
      <c r="N94" s="3">
        <v>3.0338709677419389</v>
      </c>
      <c r="O94" s="3">
        <v>2.3887096774193566</v>
      </c>
      <c r="P94" s="3">
        <v>88.056182795698916</v>
      </c>
      <c r="R94" s="3">
        <v>91.973521505376254</v>
      </c>
      <c r="S94" s="3">
        <v>91.532795698924687</v>
      </c>
      <c r="T94" s="3">
        <v>94.442876344086145</v>
      </c>
      <c r="U94" s="3">
        <v>89.258198924731232</v>
      </c>
      <c r="V94" s="3"/>
      <c r="W94" s="3"/>
      <c r="X94" s="3"/>
      <c r="Y94" s="3"/>
      <c r="Z94" s="3"/>
      <c r="AA94" s="3"/>
      <c r="AB94" s="3"/>
      <c r="AC94" s="3">
        <v>4.064516129032258</v>
      </c>
      <c r="AD94" s="3"/>
      <c r="AE94" s="3">
        <v>2.9838709677419355</v>
      </c>
      <c r="AF94" s="3">
        <v>1.6774193548387097</v>
      </c>
      <c r="AG94" s="3">
        <v>0.2741935483870967</v>
      </c>
      <c r="AH94" s="3">
        <v>1.096774193548387</v>
      </c>
      <c r="AI94" s="6">
        <f t="shared" si="8"/>
        <v>4611.2799263351753</v>
      </c>
      <c r="AJ94" s="6">
        <f t="shared" si="9"/>
        <v>6.1733605376441121</v>
      </c>
      <c r="AK94" s="3">
        <v>3.32258064516129</v>
      </c>
      <c r="AL94" s="3"/>
      <c r="AM94" s="3">
        <v>2.3225806451612914</v>
      </c>
      <c r="AN94" s="3">
        <v>0.77096774193548367</v>
      </c>
      <c r="AO94" s="3">
        <v>7.7419354838709695E-2</v>
      </c>
      <c r="AP94" s="3">
        <v>6.774193548387096E-2</v>
      </c>
      <c r="AQ94" s="3">
        <v>64.961290322580652</v>
      </c>
      <c r="AR94" s="3"/>
      <c r="AS94" s="3">
        <v>78.499999999999986</v>
      </c>
      <c r="AT94" s="3">
        <v>81.451612903225822</v>
      </c>
      <c r="AU94" s="3">
        <v>82.838709677419345</v>
      </c>
      <c r="AV94" s="3">
        <v>73.612903225806477</v>
      </c>
      <c r="AW94">
        <v>13094.631254251</v>
      </c>
      <c r="AX94">
        <v>4.4000777064015502</v>
      </c>
      <c r="AY94" s="20">
        <v>42036</v>
      </c>
      <c r="AZ94" s="21">
        <v>4962.4905862105306</v>
      </c>
      <c r="BA94" s="26">
        <v>0.47</v>
      </c>
      <c r="BB94" s="22">
        <v>-0.27</v>
      </c>
      <c r="BC94" s="30">
        <v>-1.5</v>
      </c>
      <c r="BD94">
        <v>28.6</v>
      </c>
      <c r="BE94">
        <v>27</v>
      </c>
      <c r="BF94">
        <v>26.17</v>
      </c>
      <c r="BG94" s="9"/>
      <c r="BH94" s="9"/>
      <c r="BI94" s="9"/>
      <c r="BJ94" s="9"/>
    </row>
    <row r="95" spans="1:62" ht="15" thickBot="1">
      <c r="A95" s="20">
        <v>41730</v>
      </c>
      <c r="B95" s="3">
        <v>9.2451388888888886</v>
      </c>
      <c r="D95" s="3">
        <v>6.3465277777777782</v>
      </c>
      <c r="E95" s="3">
        <v>4.5902777777777777</v>
      </c>
      <c r="F95" s="3">
        <v>3.2926388888888893</v>
      </c>
      <c r="G95" s="3">
        <v>4.5381944444444446</v>
      </c>
      <c r="H95" s="6">
        <f t="shared" si="4"/>
        <v>5023.0314224259155</v>
      </c>
      <c r="I95" s="6">
        <f t="shared" si="5"/>
        <v>6.9851454950254928</v>
      </c>
      <c r="J95" s="3">
        <v>5.2744444444444429</v>
      </c>
      <c r="L95" s="3">
        <v>4.3333333333333321</v>
      </c>
      <c r="M95" s="3">
        <v>2.4891666666666703</v>
      </c>
      <c r="N95" s="3">
        <v>2.5458333333333329</v>
      </c>
      <c r="O95" s="3">
        <v>2.1170833333333317</v>
      </c>
      <c r="P95" s="3">
        <v>78.625833333333333</v>
      </c>
      <c r="R95" s="3">
        <v>87.342083333333207</v>
      </c>
      <c r="S95" s="3">
        <v>86.527499999999918</v>
      </c>
      <c r="T95" s="3">
        <v>91.02874999999996</v>
      </c>
      <c r="U95" s="3">
        <v>84.876111111111086</v>
      </c>
      <c r="V95" s="3"/>
      <c r="W95" s="3"/>
      <c r="X95" s="3"/>
      <c r="Y95" s="3"/>
      <c r="Z95" s="3"/>
      <c r="AA95" s="3"/>
      <c r="AB95" s="3"/>
      <c r="AC95" s="3">
        <v>3.6833333333333331</v>
      </c>
      <c r="AD95" s="3"/>
      <c r="AE95" s="3">
        <v>3.55</v>
      </c>
      <c r="AF95" s="3">
        <v>2.2833333333333332</v>
      </c>
      <c r="AG95" s="3">
        <v>1.2266666666666666</v>
      </c>
      <c r="AH95" s="3">
        <v>1.45</v>
      </c>
      <c r="AI95" s="6">
        <f t="shared" si="8"/>
        <v>4788.9695989314332</v>
      </c>
      <c r="AJ95" s="6">
        <f t="shared" si="9"/>
        <v>5.3074008009494786</v>
      </c>
      <c r="AK95" s="3">
        <v>2.5766666666666667</v>
      </c>
      <c r="AL95" s="3"/>
      <c r="AM95" s="3">
        <v>2.3400000000000003</v>
      </c>
      <c r="AN95" s="3">
        <v>0.89333333333333309</v>
      </c>
      <c r="AO95" s="3">
        <v>-6.6666666666666666E-2</v>
      </c>
      <c r="AP95" s="3">
        <v>-6.6666666666666666E-2</v>
      </c>
      <c r="AQ95" s="3">
        <v>47.249999999999993</v>
      </c>
      <c r="AR95" s="3"/>
      <c r="AS95" s="3">
        <v>72.440000000000012</v>
      </c>
      <c r="AT95" s="3">
        <v>73.683333333333323</v>
      </c>
      <c r="AU95" s="3">
        <v>76.163333333333341</v>
      </c>
      <c r="AV95" s="3">
        <v>66.19</v>
      </c>
      <c r="AW95">
        <v>9181.5210097559993</v>
      </c>
      <c r="AX95">
        <v>3.1880281283874998</v>
      </c>
      <c r="AY95" s="20">
        <v>42064</v>
      </c>
      <c r="AZ95" s="21">
        <v>4933.2446818583949</v>
      </c>
      <c r="BA95" s="26">
        <v>0.53</v>
      </c>
      <c r="BB95" s="22">
        <v>0.04</v>
      </c>
      <c r="BC95" s="30">
        <v>1.3</v>
      </c>
      <c r="BD95">
        <v>28.98</v>
      </c>
      <c r="BE95">
        <v>27.9</v>
      </c>
      <c r="BF95">
        <v>25.51</v>
      </c>
      <c r="BG95" s="9"/>
      <c r="BH95" s="9"/>
      <c r="BI95" s="9"/>
      <c r="BJ95" s="9"/>
    </row>
    <row r="96" spans="1:62" ht="15" thickBot="1">
      <c r="A96" s="20">
        <v>41760</v>
      </c>
      <c r="B96" s="3">
        <v>8.591397849462366</v>
      </c>
      <c r="D96" s="3">
        <v>6.442204301075269</v>
      </c>
      <c r="E96" s="3">
        <v>4.780913978494624</v>
      </c>
      <c r="F96" s="3">
        <v>3.2013157894736866</v>
      </c>
      <c r="G96" s="3">
        <v>4.6732456140350873</v>
      </c>
      <c r="H96" s="6">
        <f t="shared" si="4"/>
        <v>4995.6897605167032</v>
      </c>
      <c r="I96" s="6">
        <f t="shared" si="5"/>
        <v>7.3931920751534781</v>
      </c>
      <c r="J96" s="3">
        <v>4.9008064516129011</v>
      </c>
      <c r="L96" s="3">
        <v>3.9388440860215126</v>
      </c>
      <c r="M96" s="3">
        <v>1.9251344086021502</v>
      </c>
      <c r="N96" s="3">
        <v>2.4993421052631581</v>
      </c>
      <c r="O96" s="3">
        <v>2.0868421052631572</v>
      </c>
      <c r="P96" s="3">
        <v>80.13508064516121</v>
      </c>
      <c r="R96" s="3">
        <v>85.087634408602128</v>
      </c>
      <c r="S96" s="3">
        <v>83.00698924731185</v>
      </c>
      <c r="T96" s="3">
        <v>91.075219298245585</v>
      </c>
      <c r="U96" s="3">
        <v>84.231359649122822</v>
      </c>
      <c r="V96" s="3"/>
      <c r="W96" s="3"/>
      <c r="X96" s="3"/>
      <c r="Y96" s="3"/>
      <c r="Z96" s="3"/>
      <c r="AA96" s="3"/>
      <c r="AB96" s="3"/>
      <c r="AC96" s="3">
        <v>3.032258064516129</v>
      </c>
      <c r="AD96" s="3"/>
      <c r="AE96" s="3">
        <v>2.806451612903226</v>
      </c>
      <c r="AF96" s="3">
        <v>2.064516129032258</v>
      </c>
      <c r="AG96" s="3">
        <v>0.9526315789473685</v>
      </c>
      <c r="AH96" s="3">
        <v>1.5</v>
      </c>
      <c r="AI96" s="6">
        <f t="shared" si="8"/>
        <v>4796.3783250310898</v>
      </c>
      <c r="AJ96" s="6">
        <f t="shared" si="9"/>
        <v>4.2087343588656347</v>
      </c>
      <c r="AK96" s="3">
        <v>2.0612903225806445</v>
      </c>
      <c r="AL96" s="3"/>
      <c r="AM96" s="3">
        <v>1.6870967741935481</v>
      </c>
      <c r="AN96" s="3">
        <v>0.32903225806451625</v>
      </c>
      <c r="AO96" s="3">
        <v>5.2631578947368411E-2</v>
      </c>
      <c r="AP96" s="3">
        <v>5.2631578947368411E-2</v>
      </c>
      <c r="AQ96" s="3">
        <v>51.383870967741935</v>
      </c>
      <c r="AR96" s="3"/>
      <c r="AS96" s="3">
        <v>66.767741935483869</v>
      </c>
      <c r="AT96" s="3">
        <v>66.59999999999998</v>
      </c>
      <c r="AU96" s="3">
        <v>76.468421052631598</v>
      </c>
      <c r="AV96" s="3">
        <v>61.926315789473676</v>
      </c>
      <c r="AW96">
        <v>8021.860787355</v>
      </c>
      <c r="AX96">
        <v>2.6955177376864898</v>
      </c>
      <c r="AY96" s="20">
        <v>42095</v>
      </c>
      <c r="AZ96" s="21">
        <v>4905.5379019115971</v>
      </c>
      <c r="BA96" s="26">
        <v>0.7</v>
      </c>
      <c r="BB96" s="22">
        <v>0.21</v>
      </c>
      <c r="BC96" s="30">
        <v>0.9</v>
      </c>
      <c r="BD96">
        <v>29.45</v>
      </c>
      <c r="BE96">
        <v>28.25</v>
      </c>
      <c r="BF96">
        <v>25.48</v>
      </c>
      <c r="BG96" s="9"/>
      <c r="BH96" s="9"/>
      <c r="BI96" s="9"/>
      <c r="BJ96" s="9"/>
    </row>
    <row r="97" spans="1:62" ht="15" thickBot="1">
      <c r="A97" s="20">
        <v>41791</v>
      </c>
      <c r="B97" s="3">
        <v>9.2131944444444436</v>
      </c>
      <c r="C97" s="3">
        <v>8.418181818181818</v>
      </c>
      <c r="D97" s="3">
        <v>7.0075301204819276</v>
      </c>
      <c r="E97" s="3">
        <v>5.4493055555555552</v>
      </c>
      <c r="F97" s="3">
        <v>3.4928571428571429</v>
      </c>
      <c r="G97" s="3">
        <v>5.2719298245614032</v>
      </c>
      <c r="H97" s="6">
        <f t="shared" si="4"/>
        <v>5009.2188235655767</v>
      </c>
      <c r="I97" s="6">
        <f t="shared" si="5"/>
        <v>7.9643020781696698</v>
      </c>
      <c r="J97" s="3">
        <v>1.9311111111111106</v>
      </c>
      <c r="K97" s="3">
        <v>2.025454545454545</v>
      </c>
      <c r="L97" s="3">
        <v>1.5649096385542192</v>
      </c>
      <c r="M97" s="3">
        <v>-0.74680555555555628</v>
      </c>
      <c r="N97" s="3">
        <v>0.37499999999999989</v>
      </c>
      <c r="O97" s="3">
        <v>0.51403508771929818</v>
      </c>
      <c r="P97" s="3">
        <v>64.507777777777676</v>
      </c>
      <c r="Q97" s="3">
        <v>65.75454545454545</v>
      </c>
      <c r="R97" s="3">
        <v>69.951807228915641</v>
      </c>
      <c r="S97" s="3">
        <v>66.229583333333281</v>
      </c>
      <c r="T97" s="3">
        <v>80.469642857142858</v>
      </c>
      <c r="U97" s="3">
        <v>73.414035087719284</v>
      </c>
      <c r="V97" s="3"/>
      <c r="W97" s="3"/>
      <c r="X97" s="3"/>
      <c r="Y97" s="3"/>
      <c r="Z97" s="3"/>
      <c r="AA97" s="3"/>
      <c r="AB97" s="3"/>
      <c r="AC97" s="3">
        <v>1.9166666666666667</v>
      </c>
      <c r="AD97" s="3">
        <v>5.333333333333333</v>
      </c>
      <c r="AE97" s="3">
        <v>3.0357142857142856</v>
      </c>
      <c r="AF97" s="3">
        <v>2.25</v>
      </c>
      <c r="AG97" s="3">
        <v>0.9</v>
      </c>
      <c r="AH97" s="3">
        <v>1.3333333333333333</v>
      </c>
      <c r="AI97" s="6">
        <f t="shared" si="8"/>
        <v>4643.706781890518</v>
      </c>
      <c r="AJ97" s="6">
        <f t="shared" si="9"/>
        <v>6.7624462832948566</v>
      </c>
      <c r="AK97" s="3">
        <v>-0.95666666666666655</v>
      </c>
      <c r="AL97" s="3">
        <v>0.46666666666666662</v>
      </c>
      <c r="AM97" s="3">
        <v>-0.81428571428571428</v>
      </c>
      <c r="AN97" s="3">
        <v>-3.05</v>
      </c>
      <c r="AO97" s="3">
        <v>-1.5</v>
      </c>
      <c r="AP97" s="3">
        <v>-1.5</v>
      </c>
      <c r="AQ97" s="3">
        <v>34.906666666666666</v>
      </c>
      <c r="AR97" s="3">
        <v>44.766666666666673</v>
      </c>
      <c r="AS97" s="3">
        <v>49.171428571428564</v>
      </c>
      <c r="AT97" s="3">
        <v>45.543333333333337</v>
      </c>
      <c r="AU97" s="3">
        <v>62.366666666666674</v>
      </c>
      <c r="AV97" s="3">
        <v>45.366666666666667</v>
      </c>
      <c r="AW97">
        <v>3183.017694831</v>
      </c>
      <c r="AX97">
        <v>2.4541385465158099</v>
      </c>
      <c r="AY97" s="20">
        <v>42125</v>
      </c>
      <c r="AZ97" s="21">
        <v>4964.3282042942992</v>
      </c>
      <c r="BA97" s="26">
        <v>0.93</v>
      </c>
      <c r="BB97" s="22">
        <v>0.16</v>
      </c>
      <c r="BC97" s="30">
        <v>0.3</v>
      </c>
      <c r="BD97">
        <v>29.36</v>
      </c>
      <c r="BE97">
        <v>27.96</v>
      </c>
      <c r="BF97">
        <v>24.67</v>
      </c>
      <c r="BG97" s="9"/>
      <c r="BH97" s="9"/>
      <c r="BI97" s="9"/>
      <c r="BJ97" s="9"/>
    </row>
    <row r="98" spans="1:62" ht="15" thickBot="1">
      <c r="A98" s="20">
        <v>41821</v>
      </c>
      <c r="B98" s="3">
        <v>9.091397849462366</v>
      </c>
      <c r="C98" s="3">
        <v>8.209005376344086</v>
      </c>
      <c r="E98" s="3">
        <v>4.448252688172043</v>
      </c>
      <c r="F98" s="3">
        <v>2.9037634408602213</v>
      </c>
      <c r="G98" s="3">
        <v>4.17002688172043</v>
      </c>
      <c r="H98" s="6">
        <f t="shared" si="4"/>
        <v>4874.087959399486</v>
      </c>
      <c r="I98" s="6">
        <f t="shared" si="5"/>
        <v>8.8558977940946733</v>
      </c>
      <c r="J98" s="3">
        <v>0.33991935483870933</v>
      </c>
      <c r="K98" s="3">
        <v>-0.33588709677419326</v>
      </c>
      <c r="M98" s="3">
        <v>-1.6431451612903214</v>
      </c>
      <c r="N98" s="3">
        <v>-2.482795698924734</v>
      </c>
      <c r="O98" s="3">
        <v>-2.4052419354838745</v>
      </c>
      <c r="P98" s="3">
        <v>58.194489247311694</v>
      </c>
      <c r="Q98" s="3">
        <v>58.285080645161173</v>
      </c>
      <c r="S98" s="3">
        <v>67.085215053763278</v>
      </c>
      <c r="T98" s="3">
        <v>69.962231182795648</v>
      </c>
      <c r="U98" s="3">
        <v>65.73319892473107</v>
      </c>
      <c r="V98" s="3">
        <v>0.74680576698359702</v>
      </c>
      <c r="W98" s="3">
        <v>0.74680576698359702</v>
      </c>
      <c r="X98" s="3">
        <v>205.31680107526799</v>
      </c>
      <c r="Y98" s="3">
        <v>3.4</v>
      </c>
      <c r="Z98" s="3">
        <v>8.2630376344085992</v>
      </c>
      <c r="AA98" s="3">
        <v>-0.42499999999999999</v>
      </c>
      <c r="AB98" s="3"/>
      <c r="AC98" s="3">
        <v>2.2580645161290325</v>
      </c>
      <c r="AD98" s="3">
        <v>3.629032258064516</v>
      </c>
      <c r="AE98" s="3"/>
      <c r="AF98" s="3">
        <v>1.3548387096774193</v>
      </c>
      <c r="AG98" s="3">
        <v>0.12903225806451613</v>
      </c>
      <c r="AH98" s="3">
        <v>0.27419354838709675</v>
      </c>
      <c r="AI98" s="6">
        <f t="shared" si="8"/>
        <v>4585.2510790971328</v>
      </c>
      <c r="AJ98" s="6">
        <f t="shared" si="9"/>
        <v>5.7714422003969439</v>
      </c>
      <c r="AK98" s="3">
        <v>-2.4612903225806457</v>
      </c>
      <c r="AL98" s="3">
        <v>-2.7935483870967737</v>
      </c>
      <c r="AM98" s="3"/>
      <c r="AN98" s="3">
        <v>-4.0451612903225804</v>
      </c>
      <c r="AO98" s="3">
        <v>-5.1935483870967758</v>
      </c>
      <c r="AP98" s="3">
        <v>-5.2032258064516146</v>
      </c>
      <c r="AQ98" s="3">
        <v>34.067741935483873</v>
      </c>
      <c r="AR98" s="3">
        <v>36.78709677419355</v>
      </c>
      <c r="AS98" s="3"/>
      <c r="AT98" s="3">
        <v>49.167741935483868</v>
      </c>
      <c r="AU98" s="3">
        <v>52.074193548387093</v>
      </c>
      <c r="AV98" s="3">
        <v>40.522580645161284</v>
      </c>
      <c r="AY98" s="20">
        <v>42156</v>
      </c>
      <c r="AZ98" s="21">
        <v>4937.2598942524673</v>
      </c>
      <c r="BA98" s="26">
        <v>1.18</v>
      </c>
      <c r="BB98" s="22">
        <v>0.05</v>
      </c>
      <c r="BC98" s="30">
        <v>-0.3</v>
      </c>
      <c r="BD98">
        <v>29.04</v>
      </c>
      <c r="BE98">
        <v>27.23</v>
      </c>
      <c r="BF98">
        <v>22.94</v>
      </c>
      <c r="BG98" s="9"/>
      <c r="BH98" s="9"/>
      <c r="BI98" s="9"/>
      <c r="BJ98" s="9"/>
    </row>
    <row r="99" spans="1:62" ht="15" thickBot="1">
      <c r="A99" s="20">
        <v>41852</v>
      </c>
      <c r="B99" s="3">
        <v>8.4791666666666661</v>
      </c>
      <c r="C99" s="3">
        <v>8.1606182795698921</v>
      </c>
      <c r="E99" s="3">
        <v>4.189516129032258</v>
      </c>
      <c r="F99" s="3">
        <v>2.7049731182795762</v>
      </c>
      <c r="G99" s="3">
        <v>4.0678763440860219</v>
      </c>
      <c r="H99" s="6">
        <f t="shared" si="4"/>
        <v>4835.9552889260249</v>
      </c>
      <c r="I99" s="6">
        <f t="shared" si="5"/>
        <v>9.1425710764897374</v>
      </c>
      <c r="J99" s="3">
        <v>-0.421639784946237</v>
      </c>
      <c r="K99" s="3">
        <v>-1.4534946236559116</v>
      </c>
      <c r="M99" s="3">
        <v>-2.7037634408602149</v>
      </c>
      <c r="N99" s="3">
        <v>-3.6397849462365608</v>
      </c>
      <c r="O99" s="3">
        <v>-3.5380376344086013</v>
      </c>
      <c r="P99" s="3">
        <v>58.152150537634348</v>
      </c>
      <c r="Q99" s="3">
        <v>54.731317204300964</v>
      </c>
      <c r="S99" s="3">
        <v>64.183467741935431</v>
      </c>
      <c r="T99" s="3">
        <v>66.128763440860112</v>
      </c>
      <c r="U99" s="3">
        <v>62.188709677419276</v>
      </c>
      <c r="V99" s="3">
        <v>0.77024504519474701</v>
      </c>
      <c r="W99" s="3">
        <v>0.77024504519474701</v>
      </c>
      <c r="X99" s="3">
        <v>236.22446236559099</v>
      </c>
      <c r="Y99" s="3">
        <v>1.8</v>
      </c>
      <c r="Z99" s="3">
        <v>7.7180107526881701</v>
      </c>
      <c r="AA99" s="3">
        <v>-1.0915322580645099</v>
      </c>
      <c r="AB99" s="3"/>
      <c r="AC99" s="3">
        <v>1.3548387096774193</v>
      </c>
      <c r="AD99" s="3">
        <v>3.4516129032258065</v>
      </c>
      <c r="AE99" s="3"/>
      <c r="AF99" s="3">
        <v>0.95161290322580649</v>
      </c>
      <c r="AG99" s="3">
        <v>-0.1903225806451613</v>
      </c>
      <c r="AH99" s="3">
        <v>-0.11290322580645161</v>
      </c>
      <c r="AI99" s="6">
        <f t="shared" si="8"/>
        <v>4521.8813875162323</v>
      </c>
      <c r="AJ99" s="6">
        <f t="shared" si="9"/>
        <v>6.051347138342547</v>
      </c>
      <c r="AK99" s="3">
        <v>-3.0999999999999988</v>
      </c>
      <c r="AL99" s="3">
        <v>-4.1193548387096763</v>
      </c>
      <c r="AM99" s="3"/>
      <c r="AN99" s="3">
        <v>-5.7870967741935475</v>
      </c>
      <c r="AO99" s="3">
        <v>-7.3258064516129044</v>
      </c>
      <c r="AP99" s="3">
        <v>-7.3258064516129044</v>
      </c>
      <c r="AQ99" s="3">
        <v>30.180645161290322</v>
      </c>
      <c r="AR99" s="3">
        <v>32.587096774193554</v>
      </c>
      <c r="AS99" s="3"/>
      <c r="AT99" s="3">
        <v>44.770967741935486</v>
      </c>
      <c r="AU99" s="3">
        <v>48.854838709677416</v>
      </c>
      <c r="AV99" s="3">
        <v>39.238709677419358</v>
      </c>
      <c r="AW99" s="21"/>
      <c r="AX99" s="21"/>
      <c r="AY99" s="20">
        <v>42186</v>
      </c>
      <c r="AZ99">
        <v>4966.3782165053517</v>
      </c>
      <c r="BA99" s="26">
        <v>1.52</v>
      </c>
      <c r="BB99" s="22">
        <v>7.0000000000000007E-2</v>
      </c>
      <c r="BC99" s="30">
        <v>-1.2</v>
      </c>
      <c r="BD99">
        <v>29.04</v>
      </c>
      <c r="BE99">
        <v>26.82</v>
      </c>
      <c r="BF99">
        <v>21.9</v>
      </c>
      <c r="BG99" s="9"/>
      <c r="BH99" s="9"/>
      <c r="BI99" s="9"/>
      <c r="BJ99" s="9"/>
    </row>
    <row r="100" spans="1:62" ht="15" thickBot="1">
      <c r="A100" s="20">
        <v>41883</v>
      </c>
      <c r="B100" s="3">
        <v>8.7291666666666661</v>
      </c>
      <c r="C100" s="3">
        <v>8.094444444444445</v>
      </c>
      <c r="E100" s="3">
        <v>4.3256944444444443</v>
      </c>
      <c r="F100" s="3">
        <v>2.9751388888888943</v>
      </c>
      <c r="G100" s="3">
        <v>4.177083333333333</v>
      </c>
      <c r="H100" s="6">
        <f t="shared" si="4"/>
        <v>4883.134745788213</v>
      </c>
      <c r="I100" s="6">
        <f t="shared" si="5"/>
        <v>8.5935106944811128</v>
      </c>
      <c r="J100" s="3">
        <v>2.4286111111111119</v>
      </c>
      <c r="K100" s="3">
        <v>2.0181944444444428</v>
      </c>
      <c r="M100" s="3">
        <v>0.30666666666666786</v>
      </c>
      <c r="N100" s="3">
        <v>-0.23069444444444437</v>
      </c>
      <c r="O100" s="3">
        <v>-0.19569444444444423</v>
      </c>
      <c r="P100" s="3">
        <v>69.232083333333264</v>
      </c>
      <c r="Q100" s="3">
        <v>69.133611111111122</v>
      </c>
      <c r="S100" s="3">
        <v>77.176111111110998</v>
      </c>
      <c r="T100" s="3">
        <v>80.609305555555494</v>
      </c>
      <c r="U100" s="3">
        <v>75.65930555555552</v>
      </c>
      <c r="V100" s="3">
        <v>0.35203009276140801</v>
      </c>
      <c r="W100" s="3">
        <v>0.35203009276140801</v>
      </c>
      <c r="X100" s="3">
        <v>234.076944444444</v>
      </c>
      <c r="Y100" s="3">
        <v>38.799999999999997</v>
      </c>
      <c r="Z100" s="3">
        <v>7.9536111111111101</v>
      </c>
      <c r="AA100" s="3">
        <v>2.1869444444444399</v>
      </c>
      <c r="AB100" s="3"/>
      <c r="AC100" s="3">
        <v>2.4333333333333331</v>
      </c>
      <c r="AD100" s="3">
        <v>3.9166666666666665</v>
      </c>
      <c r="AE100" s="3"/>
      <c r="AF100" s="3">
        <v>1.25</v>
      </c>
      <c r="AG100" s="3">
        <v>0.31666666666666665</v>
      </c>
      <c r="AH100" s="3">
        <v>0.56666666666666665</v>
      </c>
      <c r="AI100" s="6">
        <f t="shared" si="8"/>
        <v>4589.8843378607808</v>
      </c>
      <c r="AJ100" s="6">
        <f t="shared" si="9"/>
        <v>6.048763313088636</v>
      </c>
      <c r="AK100" s="3">
        <v>6.333333333333338E-2</v>
      </c>
      <c r="AL100" s="3">
        <v>-2.3333333333333258E-2</v>
      </c>
      <c r="AM100" s="3"/>
      <c r="AN100" s="3">
        <v>-1.6066666666666665</v>
      </c>
      <c r="AO100" s="3">
        <v>-2.61</v>
      </c>
      <c r="AP100" s="3">
        <v>-2.6</v>
      </c>
      <c r="AQ100" s="3">
        <v>37.236666666666665</v>
      </c>
      <c r="AR100" s="3">
        <v>43.629999999999988</v>
      </c>
      <c r="AS100" s="3"/>
      <c r="AT100" s="3">
        <v>59.166666666666664</v>
      </c>
      <c r="AU100" s="3">
        <v>63.916666666666671</v>
      </c>
      <c r="AV100" s="3">
        <v>53.08</v>
      </c>
      <c r="AW100" s="21"/>
      <c r="AX100" s="21"/>
      <c r="AY100" s="20">
        <v>42217</v>
      </c>
      <c r="AZ100">
        <v>5055.1238996115317</v>
      </c>
      <c r="BA100" s="26">
        <v>1.86</v>
      </c>
      <c r="BB100" s="22">
        <v>0.23</v>
      </c>
      <c r="BC100" s="30">
        <v>-1.2</v>
      </c>
      <c r="BD100">
        <v>29.16</v>
      </c>
      <c r="BE100">
        <v>27.01</v>
      </c>
      <c r="BF100">
        <v>21.52</v>
      </c>
      <c r="BG100" s="9"/>
      <c r="BH100" s="9"/>
      <c r="BI100" s="9"/>
      <c r="BJ100" s="9"/>
    </row>
    <row r="101" spans="1:62" ht="15" thickBot="1">
      <c r="A101" s="20">
        <v>41913</v>
      </c>
      <c r="B101" s="3">
        <v>8.9381720430107521</v>
      </c>
      <c r="C101" s="3">
        <v>7.94758064516129</v>
      </c>
      <c r="E101" s="3">
        <v>4.151209677419355</v>
      </c>
      <c r="F101" s="3">
        <v>2.9154569892473141</v>
      </c>
      <c r="G101" s="3">
        <v>4.022849462365591</v>
      </c>
      <c r="H101" s="6">
        <f t="shared" si="4"/>
        <v>4874.1830460895926</v>
      </c>
      <c r="I101" s="6">
        <f t="shared" si="5"/>
        <v>8.4786770530763089</v>
      </c>
      <c r="J101" s="3">
        <v>3.611559139784946</v>
      </c>
      <c r="K101" s="3">
        <v>3.3227150537634378</v>
      </c>
      <c r="M101" s="3">
        <v>1.2750000000000019</v>
      </c>
      <c r="N101" s="3">
        <v>0.93736559139784992</v>
      </c>
      <c r="O101" s="3">
        <v>0.88494623655914117</v>
      </c>
      <c r="P101" s="3">
        <v>72.567473118279494</v>
      </c>
      <c r="Q101" s="3">
        <v>74.655510752688144</v>
      </c>
      <c r="S101" s="3">
        <v>82.346102150537533</v>
      </c>
      <c r="T101" s="3">
        <v>86.12405913978472</v>
      </c>
      <c r="U101" s="3">
        <v>80.979973118279318</v>
      </c>
      <c r="V101" s="3">
        <v>0.60949448529594097</v>
      </c>
      <c r="W101" s="3">
        <v>0.60949448529594097</v>
      </c>
      <c r="X101" s="3">
        <v>223.935483870967</v>
      </c>
      <c r="Y101" s="3">
        <v>13.6</v>
      </c>
      <c r="Z101" s="3">
        <v>8.1961021505376301</v>
      </c>
      <c r="AA101" s="3">
        <v>3.5305107526881701</v>
      </c>
      <c r="AB101" s="3"/>
      <c r="AC101" s="3">
        <v>3.7419354838709675</v>
      </c>
      <c r="AD101" s="3">
        <v>4.209677419354839</v>
      </c>
      <c r="AE101" s="3"/>
      <c r="AF101" s="3">
        <v>1.5161290322580645</v>
      </c>
      <c r="AG101" s="3">
        <v>0.32903225806451614</v>
      </c>
      <c r="AH101" s="3">
        <v>0.75806451612903225</v>
      </c>
      <c r="AI101" s="6">
        <f t="shared" si="8"/>
        <v>4602.0995013724541</v>
      </c>
      <c r="AJ101" s="6">
        <f t="shared" si="9"/>
        <v>6.4581718442549647</v>
      </c>
      <c r="AK101" s="3">
        <v>0.88709677419354827</v>
      </c>
      <c r="AL101" s="3">
        <v>1.1935483870967742</v>
      </c>
      <c r="AM101" s="3"/>
      <c r="AN101" s="3">
        <v>-0.64516129032258041</v>
      </c>
      <c r="AO101" s="3">
        <v>-1.6903225806451612</v>
      </c>
      <c r="AP101" s="3">
        <v>-1.6903225806451612</v>
      </c>
      <c r="AQ101" s="3">
        <v>44.5</v>
      </c>
      <c r="AR101" s="3">
        <v>51.641935483870967</v>
      </c>
      <c r="AS101" s="3"/>
      <c r="AT101" s="3">
        <v>67.461290322580652</v>
      </c>
      <c r="AU101" s="3">
        <v>72.719354838709663</v>
      </c>
      <c r="AV101" s="3">
        <v>62.296774193548401</v>
      </c>
      <c r="AW101" s="21"/>
      <c r="AX101" s="21"/>
      <c r="AY101" s="20">
        <v>42248</v>
      </c>
      <c r="AZ101">
        <v>5170.63498516459</v>
      </c>
      <c r="BA101" s="26">
        <v>2.16</v>
      </c>
      <c r="BB101" s="22">
        <v>0.49</v>
      </c>
      <c r="BC101" s="30">
        <v>-1</v>
      </c>
      <c r="BD101">
        <v>29.24</v>
      </c>
      <c r="BE101">
        <v>27.16</v>
      </c>
      <c r="BF101">
        <v>21.71</v>
      </c>
      <c r="BG101" s="9"/>
      <c r="BH101" s="9"/>
      <c r="BI101" s="9"/>
      <c r="BJ101" s="9"/>
    </row>
    <row r="102" spans="1:62" ht="15" thickBot="1">
      <c r="A102" s="20">
        <v>41944</v>
      </c>
      <c r="B102" s="3">
        <v>8.1472222222222221</v>
      </c>
      <c r="C102" s="3">
        <v>7.8756944444444441</v>
      </c>
      <c r="E102" s="3">
        <v>4.7368055555555557</v>
      </c>
      <c r="F102" s="3">
        <v>3.5531944444444492</v>
      </c>
      <c r="G102" s="3">
        <v>4.9743055555555555</v>
      </c>
      <c r="H102" s="6">
        <f t="shared" si="4"/>
        <v>5030.3684494826311</v>
      </c>
      <c r="I102" s="6">
        <f t="shared" si="5"/>
        <v>7.2411026024704324</v>
      </c>
      <c r="J102" s="3">
        <v>3.7570833333333318</v>
      </c>
      <c r="K102" s="3">
        <v>3.3916666666666631</v>
      </c>
      <c r="M102" s="3">
        <v>1.2143055555555571</v>
      </c>
      <c r="N102" s="3">
        <v>0.96694444444444749</v>
      </c>
      <c r="O102" s="3">
        <v>0.85888888888889181</v>
      </c>
      <c r="P102" s="3">
        <v>77.547499999999943</v>
      </c>
      <c r="Q102" s="3">
        <v>76.153472222222206</v>
      </c>
      <c r="S102" s="3">
        <v>79.974583333333143</v>
      </c>
      <c r="T102" s="3">
        <v>83.327361111111003</v>
      </c>
      <c r="U102" s="3">
        <v>77.433749999999819</v>
      </c>
      <c r="V102" s="3"/>
      <c r="W102" s="3"/>
      <c r="X102" s="3"/>
      <c r="Y102" s="3"/>
      <c r="Z102" s="3"/>
      <c r="AA102" s="3"/>
      <c r="AB102" s="3"/>
      <c r="AC102" s="3">
        <v>2.6166666666666667</v>
      </c>
      <c r="AD102" s="3">
        <v>3.65</v>
      </c>
      <c r="AE102" s="3"/>
      <c r="AF102" s="3">
        <v>1.55</v>
      </c>
      <c r="AG102" s="3">
        <v>0.7633333333333332</v>
      </c>
      <c r="AH102" s="3">
        <v>0.93333333333333335</v>
      </c>
      <c r="AI102" s="6">
        <f t="shared" si="8"/>
        <v>4698.76696392339</v>
      </c>
      <c r="AJ102" s="6">
        <f t="shared" si="9"/>
        <v>4.8370742012146817</v>
      </c>
      <c r="AK102" s="3">
        <v>1.2466666666666664</v>
      </c>
      <c r="AL102" s="3">
        <v>1.3000000000000005</v>
      </c>
      <c r="AM102" s="3"/>
      <c r="AN102" s="3">
        <v>-1.2100000000000002</v>
      </c>
      <c r="AO102" s="3">
        <v>-1.9366666666666668</v>
      </c>
      <c r="AP102" s="3">
        <v>-1.98</v>
      </c>
      <c r="AQ102" s="3">
        <v>50.320000000000007</v>
      </c>
      <c r="AR102" s="3">
        <v>53.323333333333316</v>
      </c>
      <c r="AS102" s="3"/>
      <c r="AT102" s="3">
        <v>64.906666666666666</v>
      </c>
      <c r="AU102" s="3">
        <v>68.356666666666655</v>
      </c>
      <c r="AV102" s="3">
        <v>57.876666666666686</v>
      </c>
      <c r="AW102" s="21"/>
      <c r="AX102" s="21"/>
      <c r="AY102" s="20">
        <v>42278</v>
      </c>
      <c r="AZ102">
        <v>5157.3070538948705</v>
      </c>
      <c r="BA102" s="26">
        <v>2.42</v>
      </c>
      <c r="BB102" s="26">
        <v>0.64</v>
      </c>
      <c r="BC102" s="30">
        <v>-1.5</v>
      </c>
      <c r="BD102">
        <v>29.43</v>
      </c>
      <c r="BE102">
        <v>27.46</v>
      </c>
      <c r="BF102">
        <v>22.45</v>
      </c>
      <c r="BG102" s="9"/>
      <c r="BH102" s="9"/>
      <c r="BI102" s="9"/>
      <c r="BJ102" s="9"/>
    </row>
    <row r="103" spans="1:62" ht="15" thickBot="1">
      <c r="A103" s="20">
        <v>41974</v>
      </c>
      <c r="B103" s="3">
        <v>8.30241935483871</v>
      </c>
      <c r="C103" s="3">
        <v>7.719758064516129</v>
      </c>
      <c r="E103" s="3">
        <v>4.431451612903226</v>
      </c>
      <c r="F103" s="3">
        <v>3.4029569892473126</v>
      </c>
      <c r="G103" s="3">
        <v>4.728494623655914</v>
      </c>
      <c r="H103" s="6">
        <f t="shared" si="4"/>
        <v>4993.265624764208</v>
      </c>
      <c r="I103" s="6">
        <f t="shared" si="5"/>
        <v>7.2842683373510377</v>
      </c>
      <c r="J103" s="3">
        <v>5.5454301075268893</v>
      </c>
      <c r="K103" s="3">
        <v>5.1196236559139789</v>
      </c>
      <c r="M103" s="3">
        <v>2.5534946236559128</v>
      </c>
      <c r="N103" s="3">
        <v>2.3567204301075266</v>
      </c>
      <c r="O103" s="3">
        <v>2.2142473118279553</v>
      </c>
      <c r="P103" s="3">
        <v>84.728225806451519</v>
      </c>
      <c r="Q103" s="3">
        <v>84.791935483870816</v>
      </c>
      <c r="S103" s="3">
        <v>88.231451612903257</v>
      </c>
      <c r="T103" s="3">
        <v>90.705107526881761</v>
      </c>
      <c r="U103" s="3">
        <v>84.88010752688173</v>
      </c>
      <c r="V103" s="3"/>
      <c r="W103" s="3"/>
      <c r="X103" s="3"/>
      <c r="Y103" s="3"/>
      <c r="Z103" s="3"/>
      <c r="AA103" s="3"/>
      <c r="AB103" s="3"/>
      <c r="AC103" s="3">
        <v>3.8548387096774195</v>
      </c>
      <c r="AD103" s="3">
        <v>4.403225806451613</v>
      </c>
      <c r="AE103" s="3"/>
      <c r="AF103" s="3">
        <v>1.8709677419354838</v>
      </c>
      <c r="AG103" s="3">
        <v>1.0096774193548386</v>
      </c>
      <c r="AH103" s="3">
        <v>1.4193548387096775</v>
      </c>
      <c r="AI103" s="6">
        <f t="shared" si="8"/>
        <v>4711.6749413950811</v>
      </c>
      <c r="AJ103" s="6">
        <f t="shared" si="9"/>
        <v>5.7082378595705174</v>
      </c>
      <c r="AK103" s="3">
        <v>2.9451612903225799</v>
      </c>
      <c r="AL103" s="3">
        <v>3.0870967741935487</v>
      </c>
      <c r="AM103" s="3"/>
      <c r="AN103" s="3">
        <v>0.6</v>
      </c>
      <c r="AO103" s="3">
        <v>-0.20645161290322581</v>
      </c>
      <c r="AP103" s="3">
        <v>-0.20645161290322581</v>
      </c>
      <c r="AQ103" s="3">
        <v>57.112903225806456</v>
      </c>
      <c r="AR103" s="3">
        <v>63.925806451612921</v>
      </c>
      <c r="AS103" s="3"/>
      <c r="AT103" s="3">
        <v>75.235483870967741</v>
      </c>
      <c r="AU103" s="3">
        <v>77.216129032258053</v>
      </c>
      <c r="AV103" s="3">
        <v>68.670967741935499</v>
      </c>
      <c r="AW103" s="21"/>
      <c r="AX103" s="21"/>
      <c r="AY103" s="20">
        <v>42309</v>
      </c>
      <c r="AZ103">
        <v>5247.9307226238461</v>
      </c>
      <c r="BA103" s="26">
        <v>2.57</v>
      </c>
      <c r="BB103" s="26">
        <v>0.66</v>
      </c>
      <c r="BC103" s="30">
        <v>-0.9</v>
      </c>
      <c r="BD103">
        <v>29.3</v>
      </c>
      <c r="BE103">
        <v>27.31</v>
      </c>
      <c r="BF103">
        <v>23.22</v>
      </c>
      <c r="BG103" s="9"/>
      <c r="BH103" s="9"/>
      <c r="BI103" s="9"/>
      <c r="BJ103" s="9"/>
    </row>
    <row r="104" spans="1:62" ht="15" thickBot="1">
      <c r="A104" s="20">
        <v>42005</v>
      </c>
      <c r="B104" s="3">
        <v>8.6001344086021501</v>
      </c>
      <c r="C104" s="3">
        <v>7.731854838709677</v>
      </c>
      <c r="E104" s="3">
        <v>4.180779569892473</v>
      </c>
      <c r="F104" s="3">
        <v>3.0302419354838741</v>
      </c>
      <c r="G104" s="3">
        <v>4.2856182795698921</v>
      </c>
      <c r="H104" s="6">
        <f t="shared" si="4"/>
        <v>4912.0513329955375</v>
      </c>
      <c r="I104" s="6">
        <f t="shared" si="5"/>
        <v>7.9231865663801688</v>
      </c>
      <c r="J104" s="3">
        <v>5.466801075268827</v>
      </c>
      <c r="K104" s="3">
        <v>4.886827956989257</v>
      </c>
      <c r="M104" s="3">
        <v>2.3849462365591463</v>
      </c>
      <c r="N104" s="3">
        <v>2.2512096774193591</v>
      </c>
      <c r="O104" s="3">
        <v>2.1010752688172047</v>
      </c>
      <c r="P104" s="3">
        <v>83.1</v>
      </c>
      <c r="Q104" s="3">
        <v>83.424462365591296</v>
      </c>
      <c r="S104" s="3">
        <v>88.491801075268725</v>
      </c>
      <c r="T104" s="3">
        <v>91.994354838709484</v>
      </c>
      <c r="U104" s="3">
        <v>86.334139784946018</v>
      </c>
      <c r="V104" s="3"/>
      <c r="W104" s="3"/>
      <c r="X104" s="3"/>
      <c r="Y104" s="3"/>
      <c r="Z104" s="3"/>
      <c r="AA104" s="3"/>
      <c r="AB104" s="3"/>
      <c r="AC104" s="3">
        <v>3.5806451612903225</v>
      </c>
      <c r="AD104" s="3">
        <v>4.112903225806452</v>
      </c>
      <c r="AE104" s="3"/>
      <c r="AF104" s="3">
        <v>1.8064516129032258</v>
      </c>
      <c r="AG104" s="3">
        <v>0.85806451612903223</v>
      </c>
      <c r="AH104" s="3">
        <v>1.1290322580645162</v>
      </c>
      <c r="AI104" s="6">
        <f t="shared" si="8"/>
        <v>4704.6821738866729</v>
      </c>
      <c r="AJ104" s="6">
        <f t="shared" si="9"/>
        <v>5.4329326984505579</v>
      </c>
      <c r="AK104" s="3">
        <v>2.6806451612903222</v>
      </c>
      <c r="AL104" s="3">
        <v>2.7483870967741937</v>
      </c>
      <c r="AM104" s="3"/>
      <c r="AN104" s="3">
        <v>0.64193548387096766</v>
      </c>
      <c r="AO104" s="3">
        <v>-0.15483870967741928</v>
      </c>
      <c r="AP104" s="3">
        <v>-0.15483870967741928</v>
      </c>
      <c r="AQ104" s="3">
        <v>53.567741935483873</v>
      </c>
      <c r="AR104" s="3">
        <v>62.651612903225811</v>
      </c>
      <c r="AS104" s="3"/>
      <c r="AT104" s="3">
        <v>76.761290322580649</v>
      </c>
      <c r="AU104" s="3">
        <v>80.661290322580669</v>
      </c>
      <c r="AV104" s="3">
        <v>69.645161290322577</v>
      </c>
      <c r="AW104" s="21"/>
      <c r="AX104" s="21"/>
      <c r="AY104" s="20">
        <v>42339</v>
      </c>
      <c r="AZ104">
        <v>5279.3458163714849</v>
      </c>
      <c r="BA104" s="26">
        <v>2.64</v>
      </c>
      <c r="BB104" s="26">
        <v>0.55000000000000004</v>
      </c>
      <c r="BC104" s="30">
        <v>-1.4</v>
      </c>
      <c r="BD104">
        <v>29.07</v>
      </c>
      <c r="BE104">
        <v>27.05</v>
      </c>
      <c r="BF104">
        <v>24.41</v>
      </c>
      <c r="BG104" s="9"/>
      <c r="BH104" s="9"/>
      <c r="BI104" s="9"/>
      <c r="BJ104" s="9"/>
    </row>
    <row r="105" spans="1:62" ht="15" thickBot="1">
      <c r="A105" s="20">
        <v>42036</v>
      </c>
      <c r="B105" s="3">
        <v>8.8348214285714288</v>
      </c>
      <c r="C105" s="3">
        <v>8.1331845238095237</v>
      </c>
      <c r="E105" s="3">
        <v>4.5982142857142856</v>
      </c>
      <c r="F105" s="3">
        <v>3.4221726190476227</v>
      </c>
      <c r="G105" s="3">
        <v>4.8511904761904763</v>
      </c>
      <c r="H105" s="6">
        <f t="shared" si="4"/>
        <v>4962.4905862105306</v>
      </c>
      <c r="I105" s="6">
        <f t="shared" si="5"/>
        <v>7.9310603631471013</v>
      </c>
      <c r="J105" s="3">
        <v>5.832738095238108</v>
      </c>
      <c r="K105" s="3">
        <v>5.2037202380952365</v>
      </c>
      <c r="M105" s="3">
        <v>2.563988095238094</v>
      </c>
      <c r="N105" s="3">
        <v>2.3861607142857131</v>
      </c>
      <c r="O105" s="3">
        <v>2.232738095238096</v>
      </c>
      <c r="P105" s="3">
        <v>83.369642857142821</v>
      </c>
      <c r="Q105" s="3">
        <v>82.957886904761764</v>
      </c>
      <c r="S105" s="3">
        <v>87.322321428571342</v>
      </c>
      <c r="T105" s="3">
        <v>90.632738095238039</v>
      </c>
      <c r="U105" s="3">
        <v>84.227083333333283</v>
      </c>
      <c r="V105" s="3"/>
      <c r="W105" s="3"/>
      <c r="X105" s="3"/>
      <c r="Y105" s="3"/>
      <c r="Z105" s="3"/>
      <c r="AA105" s="3"/>
      <c r="AB105" s="3"/>
      <c r="AC105" s="3">
        <v>4.1428571428571432</v>
      </c>
      <c r="AD105" s="3">
        <v>4.6428571428571432</v>
      </c>
      <c r="AE105" s="3"/>
      <c r="AF105" s="3">
        <v>1.9642857142857142</v>
      </c>
      <c r="AG105" s="3">
        <v>0.98571428571428565</v>
      </c>
      <c r="AH105" s="3">
        <v>1.3928571428571428</v>
      </c>
      <c r="AI105" s="6">
        <f t="shared" si="8"/>
        <v>4700.0691871195477</v>
      </c>
      <c r="AJ105" s="6">
        <f t="shared" si="9"/>
        <v>6.1343317363914149</v>
      </c>
      <c r="AK105" s="3">
        <v>3.1714285714285717</v>
      </c>
      <c r="AL105" s="3">
        <v>3.1642857142857146</v>
      </c>
      <c r="AM105" s="3"/>
      <c r="AN105" s="3">
        <v>0.44285714285714295</v>
      </c>
      <c r="AO105" s="3">
        <v>-0.36785714285714288</v>
      </c>
      <c r="AP105" s="3">
        <v>-0.39642857142857146</v>
      </c>
      <c r="AQ105" s="3">
        <v>55.857142857142854</v>
      </c>
      <c r="AR105" s="3">
        <v>62.121428571428574</v>
      </c>
      <c r="AS105" s="3"/>
      <c r="AT105" s="3">
        <v>75.060714285714283</v>
      </c>
      <c r="AU105" s="3">
        <v>77.857142857142875</v>
      </c>
      <c r="AV105" s="3">
        <v>66.946428571428584</v>
      </c>
      <c r="AW105" s="21"/>
      <c r="AX105" s="21"/>
      <c r="AY105" s="20">
        <v>42370</v>
      </c>
      <c r="AZ105">
        <v>5457.7464206011682</v>
      </c>
      <c r="BA105" s="26">
        <v>2.48</v>
      </c>
      <c r="BB105" s="26">
        <v>0.47</v>
      </c>
      <c r="BC105" s="30">
        <v>0.4</v>
      </c>
      <c r="BD105">
        <v>29.07</v>
      </c>
      <c r="BE105">
        <v>27.17</v>
      </c>
      <c r="BF105">
        <v>25.57</v>
      </c>
      <c r="BG105" s="9"/>
      <c r="BH105" s="9"/>
      <c r="BI105" s="9"/>
      <c r="BJ105" s="9"/>
    </row>
    <row r="106" spans="1:62" ht="15" thickBot="1">
      <c r="A106" s="20">
        <v>42064</v>
      </c>
      <c r="B106" s="3">
        <v>8.71505376344086</v>
      </c>
      <c r="C106" s="3">
        <v>7.855510752688172</v>
      </c>
      <c r="E106" s="3">
        <v>4.309811827956989</v>
      </c>
      <c r="F106" s="3">
        <v>3.1927419354838742</v>
      </c>
      <c r="G106" s="3">
        <v>4.4321236559139781</v>
      </c>
      <c r="H106" s="6">
        <f t="shared" si="4"/>
        <v>4933.2446818583949</v>
      </c>
      <c r="I106" s="6">
        <f t="shared" si="5"/>
        <v>7.86595199763764</v>
      </c>
      <c r="J106" s="3">
        <v>6.1840053763440954</v>
      </c>
      <c r="K106" s="3">
        <v>5.6059139784946357</v>
      </c>
      <c r="M106" s="3">
        <v>2.9569892473118311</v>
      </c>
      <c r="N106" s="3">
        <v>2.8061827956989229</v>
      </c>
      <c r="O106" s="3">
        <v>2.6807795698924708</v>
      </c>
      <c r="P106" s="3">
        <v>85.728225806451405</v>
      </c>
      <c r="Q106" s="3">
        <v>86.456182795698837</v>
      </c>
      <c r="S106" s="3">
        <v>91.100940860214862</v>
      </c>
      <c r="T106" s="3">
        <v>94.092607526881736</v>
      </c>
      <c r="U106" s="3">
        <v>88.803629032257973</v>
      </c>
      <c r="V106" s="3"/>
      <c r="W106" s="3"/>
      <c r="X106" s="3"/>
      <c r="Y106" s="3"/>
      <c r="Z106" s="3"/>
      <c r="AA106" s="3"/>
      <c r="AB106" s="3"/>
      <c r="AC106" s="3">
        <v>4.806451612903226</v>
      </c>
      <c r="AD106" s="3">
        <v>4.870967741935484</v>
      </c>
      <c r="AE106" s="3"/>
      <c r="AF106" s="3">
        <v>2.225806451612903</v>
      </c>
      <c r="AG106" s="3">
        <v>1.3129032258064517</v>
      </c>
      <c r="AH106" s="3">
        <v>1.5161290322580645</v>
      </c>
      <c r="AI106" s="6">
        <f t="shared" si="8"/>
        <v>4754.8543495549739</v>
      </c>
      <c r="AJ106" s="6">
        <f t="shared" si="9"/>
        <v>5.9815838564869628</v>
      </c>
      <c r="AK106" s="3">
        <v>3.6967741935483871</v>
      </c>
      <c r="AL106" s="3">
        <v>3.6419354838709679</v>
      </c>
      <c r="AM106" s="3"/>
      <c r="AN106" s="3">
        <v>1.2419354838709675</v>
      </c>
      <c r="AO106" s="3">
        <v>0.34838709677419355</v>
      </c>
      <c r="AP106" s="3">
        <v>0.34838709677419355</v>
      </c>
      <c r="AQ106" s="3">
        <v>61.016129032258057</v>
      </c>
      <c r="AR106" s="3">
        <v>68.596774193548384</v>
      </c>
      <c r="AS106" s="3"/>
      <c r="AT106" s="3">
        <v>81.512903225806454</v>
      </c>
      <c r="AU106" s="3">
        <v>84.761290322580663</v>
      </c>
      <c r="AV106" s="3">
        <v>72.758064516129039</v>
      </c>
      <c r="AW106" s="21"/>
      <c r="AX106" s="21"/>
      <c r="AY106" s="20">
        <v>42401</v>
      </c>
      <c r="AZ106">
        <v>5348.4805782798539</v>
      </c>
      <c r="BA106" s="26">
        <v>2.14</v>
      </c>
      <c r="BB106" s="26">
        <v>0.53</v>
      </c>
      <c r="BC106" s="30">
        <v>-1.2</v>
      </c>
      <c r="BD106">
        <v>29.22</v>
      </c>
      <c r="BE106">
        <v>27.75</v>
      </c>
      <c r="BF106">
        <v>26.57</v>
      </c>
      <c r="BG106" s="9"/>
      <c r="BH106" s="9"/>
      <c r="BI106" s="9"/>
      <c r="BJ106" s="9"/>
    </row>
    <row r="107" spans="1:62" ht="15" thickBot="1">
      <c r="A107" s="20">
        <v>42095</v>
      </c>
      <c r="B107" s="3">
        <v>9.0437499999999993</v>
      </c>
      <c r="C107" s="3">
        <v>7.8784722222222223</v>
      </c>
      <c r="E107" s="3">
        <v>4.2118055555555554</v>
      </c>
      <c r="F107" s="3">
        <v>3.0730555555555603</v>
      </c>
      <c r="G107" s="3">
        <v>4.2881944444444446</v>
      </c>
      <c r="H107" s="6">
        <f t="shared" si="4"/>
        <v>4905.5379019115971</v>
      </c>
      <c r="I107" s="6">
        <f t="shared" si="5"/>
        <v>8.1108837250242001</v>
      </c>
      <c r="J107" s="3">
        <v>5.2666666666666693</v>
      </c>
      <c r="K107" s="3">
        <v>4.731111111111109</v>
      </c>
      <c r="M107" s="3">
        <v>2.3909722222222207</v>
      </c>
      <c r="N107" s="3">
        <v>2.0643055555555541</v>
      </c>
      <c r="O107" s="3">
        <v>1.9890277777777767</v>
      </c>
      <c r="P107" s="3">
        <v>79.260138888888847</v>
      </c>
      <c r="Q107" s="3">
        <v>81.329027777777711</v>
      </c>
      <c r="S107" s="3">
        <v>88.143333333333345</v>
      </c>
      <c r="T107" s="3">
        <v>91.168194444444367</v>
      </c>
      <c r="U107" s="3">
        <v>85.489444444444374</v>
      </c>
      <c r="V107" s="3"/>
      <c r="W107" s="3"/>
      <c r="X107" s="3"/>
      <c r="Y107" s="3"/>
      <c r="Z107" s="3"/>
      <c r="AA107" s="3"/>
      <c r="AB107" s="3"/>
      <c r="AC107" s="3">
        <v>4.2333333333333334</v>
      </c>
      <c r="AD107" s="3">
        <v>4.8666666666666663</v>
      </c>
      <c r="AE107" s="3"/>
      <c r="AF107" s="3">
        <v>2.2333333333333334</v>
      </c>
      <c r="AG107" s="3">
        <v>1.0466666666666664</v>
      </c>
      <c r="AH107" s="3">
        <v>1.35</v>
      </c>
      <c r="AI107" s="6">
        <f t="shared" si="8"/>
        <v>4717.1593758599174</v>
      </c>
      <c r="AJ107" s="6">
        <f t="shared" si="9"/>
        <v>6.3510254379015931</v>
      </c>
      <c r="AK107" s="3">
        <v>2.7600000000000002</v>
      </c>
      <c r="AL107" s="3">
        <v>2.98</v>
      </c>
      <c r="AM107" s="3"/>
      <c r="AN107" s="3">
        <v>0.89666666666666661</v>
      </c>
      <c r="AO107" s="3">
        <v>-0.12000000000000002</v>
      </c>
      <c r="AP107" s="3">
        <v>-0.12000000000000002</v>
      </c>
      <c r="AQ107" s="3">
        <v>53.02000000000001</v>
      </c>
      <c r="AR107" s="3">
        <v>61.926666666666655</v>
      </c>
      <c r="AS107" s="3"/>
      <c r="AT107" s="3">
        <v>77.080000000000013</v>
      </c>
      <c r="AU107" s="3">
        <v>80.556666666666672</v>
      </c>
      <c r="AV107" s="3">
        <v>67.38000000000001</v>
      </c>
      <c r="AW107" s="21"/>
      <c r="AX107" s="21"/>
      <c r="AY107" s="20">
        <v>42430</v>
      </c>
      <c r="AZ107">
        <v>5343.2957800320619</v>
      </c>
      <c r="BA107" s="26">
        <v>1.58</v>
      </c>
      <c r="BB107" s="26">
        <v>0.7</v>
      </c>
      <c r="BC107" s="30">
        <v>-0.1</v>
      </c>
      <c r="BD107">
        <v>29.61</v>
      </c>
      <c r="BE107">
        <v>28.52</v>
      </c>
      <c r="BF107">
        <v>26.54</v>
      </c>
      <c r="BG107" s="9"/>
      <c r="BH107" s="9"/>
      <c r="BI107" s="9"/>
      <c r="BJ107" s="9"/>
    </row>
    <row r="108" spans="1:62" ht="15" thickBot="1">
      <c r="A108" s="20">
        <v>42125</v>
      </c>
      <c r="B108" s="3">
        <v>8.491935483870968</v>
      </c>
      <c r="C108" s="3">
        <v>7.710349462365591</v>
      </c>
      <c r="E108" s="3">
        <v>4.43010752688172</v>
      </c>
      <c r="F108" s="3">
        <v>3.2083333333333375</v>
      </c>
      <c r="G108" s="3">
        <v>4.612231182795699</v>
      </c>
      <c r="H108" s="6">
        <f t="shared" si="4"/>
        <v>4964.3282042942992</v>
      </c>
      <c r="I108" s="6">
        <f t="shared" si="5"/>
        <v>7.545603805889411</v>
      </c>
      <c r="J108" s="3">
        <v>4.6993279569892472</v>
      </c>
      <c r="K108" s="3">
        <v>4.2920698924731147</v>
      </c>
      <c r="M108" s="3">
        <v>2.075806451612904</v>
      </c>
      <c r="N108" s="3">
        <v>1.6387096774193559</v>
      </c>
      <c r="O108" s="3">
        <v>1.57688172043011</v>
      </c>
      <c r="P108" s="3">
        <v>79.520161290322548</v>
      </c>
      <c r="Q108" s="3">
        <v>80.34865591397849</v>
      </c>
      <c r="S108" s="3">
        <v>85.257795698924454</v>
      </c>
      <c r="T108" s="3">
        <v>88.290725806451576</v>
      </c>
      <c r="U108" s="3">
        <v>81.956720430107538</v>
      </c>
      <c r="V108" s="3"/>
      <c r="W108" s="3"/>
      <c r="X108" s="3"/>
      <c r="Y108" s="3"/>
      <c r="Z108" s="3"/>
      <c r="AA108" s="3"/>
      <c r="AB108" s="3"/>
      <c r="AC108" s="3">
        <v>3.032258064516129</v>
      </c>
      <c r="AD108" s="3">
        <v>3.967741935483871</v>
      </c>
      <c r="AE108" s="3"/>
      <c r="AF108" s="3">
        <v>1.967741935483871</v>
      </c>
      <c r="AG108" s="3">
        <v>0.9258064516129032</v>
      </c>
      <c r="AH108" s="3">
        <v>1.1774193548387097</v>
      </c>
      <c r="AI108" s="6">
        <f t="shared" si="8"/>
        <v>4745.2130512969006</v>
      </c>
      <c r="AJ108" s="6">
        <f t="shared" si="9"/>
        <v>5.0241488283346252</v>
      </c>
      <c r="AK108" s="3">
        <v>1.9967741935483871</v>
      </c>
      <c r="AL108" s="3">
        <v>2.4096774193548387</v>
      </c>
      <c r="AM108" s="3"/>
      <c r="AN108" s="3">
        <v>0.50322580645161297</v>
      </c>
      <c r="AO108" s="3">
        <v>-0.50322580645161286</v>
      </c>
      <c r="AP108" s="3">
        <v>-0.50322580645161286</v>
      </c>
      <c r="AQ108" s="3">
        <v>51.383870967741935</v>
      </c>
      <c r="AR108" s="3">
        <v>59.258064516129032</v>
      </c>
      <c r="AS108" s="3"/>
      <c r="AT108" s="3">
        <v>70.509677419354816</v>
      </c>
      <c r="AU108" s="3">
        <v>73.98064516129034</v>
      </c>
      <c r="AV108" s="3">
        <v>57.454838709677432</v>
      </c>
      <c r="AW108" s="21"/>
      <c r="AX108" s="21"/>
      <c r="AY108" s="20">
        <v>42461</v>
      </c>
      <c r="AZ108">
        <v>5223.9103526812733</v>
      </c>
      <c r="BA108" s="26">
        <v>0.94</v>
      </c>
      <c r="BB108" s="26">
        <v>0.93</v>
      </c>
      <c r="BC108" s="30">
        <v>-1.2</v>
      </c>
      <c r="BD108">
        <v>29.85</v>
      </c>
      <c r="BE108">
        <v>28.85</v>
      </c>
      <c r="BF108">
        <v>25.96</v>
      </c>
      <c r="BG108" s="9"/>
      <c r="BH108" s="9"/>
      <c r="BI108" s="9"/>
      <c r="BJ108" s="9"/>
    </row>
    <row r="109" spans="1:62" ht="15" thickBot="1">
      <c r="A109" s="20">
        <v>42156</v>
      </c>
      <c r="B109" s="3">
        <v>9.1187500000000004</v>
      </c>
      <c r="C109" s="3">
        <v>8.5236111111111104</v>
      </c>
      <c r="E109" s="3">
        <v>4.7777777777777777</v>
      </c>
      <c r="F109" s="3">
        <v>3.4238888888888912</v>
      </c>
      <c r="G109" s="3">
        <v>4.6888888888888891</v>
      </c>
      <c r="H109" s="6">
        <f t="shared" si="4"/>
        <v>4937.2598942524673</v>
      </c>
      <c r="I109" s="6">
        <f t="shared" si="5"/>
        <v>8.5577193908986828</v>
      </c>
      <c r="J109" s="3">
        <v>1.4187499999999977</v>
      </c>
      <c r="K109" s="3">
        <v>1.0830555555555565</v>
      </c>
      <c r="M109" s="3">
        <v>-0.7293055555555561</v>
      </c>
      <c r="N109" s="3">
        <v>-1.5486111111111098</v>
      </c>
      <c r="O109" s="3">
        <v>-1.5681944444444447</v>
      </c>
      <c r="P109" s="3">
        <v>61.982499999999817</v>
      </c>
      <c r="Q109" s="3">
        <v>62.010416666666487</v>
      </c>
      <c r="S109" s="3">
        <v>69.369861111110978</v>
      </c>
      <c r="T109" s="3">
        <v>71.611249999999913</v>
      </c>
      <c r="U109" s="3">
        <v>66.934444444444338</v>
      </c>
      <c r="V109" s="3"/>
      <c r="W109" s="3"/>
      <c r="X109" s="3"/>
      <c r="Y109" s="3"/>
      <c r="Z109" s="3"/>
      <c r="AA109" s="3"/>
      <c r="AB109" s="3"/>
      <c r="AC109" s="3">
        <v>3.3666666666666667</v>
      </c>
      <c r="AD109" s="3">
        <v>4.3499999999999996</v>
      </c>
      <c r="AE109" s="3"/>
      <c r="AF109" s="3">
        <v>1.9166666666666667</v>
      </c>
      <c r="AG109" s="3">
        <v>0.71333333333333326</v>
      </c>
      <c r="AH109" s="3">
        <v>0.8</v>
      </c>
      <c r="AI109" s="6">
        <f t="shared" si="8"/>
        <v>4676.3982234710293</v>
      </c>
      <c r="AJ109" s="6">
        <f t="shared" si="9"/>
        <v>6.020948860135551</v>
      </c>
      <c r="AK109" s="3">
        <v>-1.3099999999999998</v>
      </c>
      <c r="AL109" s="3">
        <v>-1.2066666666666666</v>
      </c>
      <c r="AM109" s="3"/>
      <c r="AN109" s="3">
        <v>-3.4499999999999988</v>
      </c>
      <c r="AO109" s="3">
        <v>-5.0166666666666666</v>
      </c>
      <c r="AP109" s="3">
        <v>-5.0166666666666666</v>
      </c>
      <c r="AQ109" s="3">
        <v>38.386666666666663</v>
      </c>
      <c r="AR109" s="3">
        <v>41.460000000000008</v>
      </c>
      <c r="AS109" s="3"/>
      <c r="AT109" s="3">
        <v>52.106666666666662</v>
      </c>
      <c r="AU109" s="3">
        <v>52.349999999999994</v>
      </c>
      <c r="AV109" s="3">
        <v>42.396666666666668</v>
      </c>
      <c r="AW109" s="21"/>
      <c r="AX109" s="21"/>
      <c r="AY109" s="20">
        <v>42491</v>
      </c>
      <c r="AZ109">
        <v>5146.5116415968196</v>
      </c>
      <c r="BA109" s="26">
        <v>0.39</v>
      </c>
      <c r="BB109" s="26">
        <v>1.18</v>
      </c>
      <c r="BC109" s="30">
        <v>-0.9</v>
      </c>
      <c r="BD109">
        <v>29.88</v>
      </c>
      <c r="BE109">
        <v>28.9</v>
      </c>
      <c r="BF109">
        <v>25.32</v>
      </c>
      <c r="BG109" s="9"/>
      <c r="BH109" s="9"/>
      <c r="BI109" s="9"/>
      <c r="BJ109" s="9"/>
    </row>
    <row r="110" spans="1:62" ht="15" thickBot="1">
      <c r="A110" s="20">
        <v>42186</v>
      </c>
      <c r="B110" s="3">
        <v>7.9858870967741939</v>
      </c>
      <c r="C110" s="3">
        <v>8.425403225806452</v>
      </c>
      <c r="D110" s="3">
        <v>6.6031645569620263</v>
      </c>
      <c r="E110" s="3">
        <v>5.105510752688172</v>
      </c>
      <c r="F110" s="3">
        <v>3.3611241217798633</v>
      </c>
      <c r="G110" s="3">
        <v>4.8325526932084308</v>
      </c>
      <c r="H110" s="6">
        <f t="shared" si="4"/>
        <v>4966.3782165053517</v>
      </c>
      <c r="I110" s="6">
        <f t="shared" si="5"/>
        <v>8.1023071794599684</v>
      </c>
      <c r="J110" s="3">
        <v>-0.24408602150537606</v>
      </c>
      <c r="K110" s="3">
        <v>-1.1482526881720425</v>
      </c>
      <c r="L110" s="3">
        <v>-3.032278481012658</v>
      </c>
      <c r="M110" s="3">
        <v>-2.5326612903225807</v>
      </c>
      <c r="N110" s="3">
        <v>-2.8859484777517572</v>
      </c>
      <c r="O110" s="3">
        <v>-2.8990632318501173</v>
      </c>
      <c r="P110" s="3">
        <v>61.629435483870886</v>
      </c>
      <c r="Q110" s="3">
        <v>54.581586021505224</v>
      </c>
      <c r="R110" s="3">
        <v>53.613607594936681</v>
      </c>
      <c r="S110" s="3">
        <v>60.133602150537634</v>
      </c>
      <c r="T110" s="3">
        <v>66.031850117096099</v>
      </c>
      <c r="U110" s="3">
        <v>61.065807962529298</v>
      </c>
      <c r="V110" s="3"/>
      <c r="W110" s="3"/>
      <c r="X110" s="3"/>
      <c r="Y110" s="3"/>
      <c r="Z110" s="3"/>
      <c r="AA110" s="3"/>
      <c r="AB110" s="3"/>
      <c r="AC110" s="3">
        <v>0.74193548387096775</v>
      </c>
      <c r="AD110" s="3">
        <v>3.6451612903225805</v>
      </c>
      <c r="AE110" s="3">
        <v>1.7857142857142858</v>
      </c>
      <c r="AF110" s="3">
        <v>1.7096774193548387</v>
      </c>
      <c r="AG110" s="3">
        <v>0.43888888888888888</v>
      </c>
      <c r="AH110" s="3">
        <v>0.47222222222222221</v>
      </c>
      <c r="AI110" s="6">
        <f t="shared" si="8"/>
        <v>4600.6091392441031</v>
      </c>
      <c r="AJ110" s="6">
        <f t="shared" si="9"/>
        <v>4.6227089410891953</v>
      </c>
      <c r="AK110" s="3">
        <v>-3.4548387096774191</v>
      </c>
      <c r="AL110" s="3">
        <v>-4.2677419354838708</v>
      </c>
      <c r="AM110" s="3">
        <v>-6.1714285714285717</v>
      </c>
      <c r="AN110" s="3">
        <v>-5.5096774193548379</v>
      </c>
      <c r="AO110" s="3">
        <v>-6.31111111111111</v>
      </c>
      <c r="AP110" s="3">
        <v>-6.31111111111111</v>
      </c>
      <c r="AQ110" s="3">
        <v>30.348387096774193</v>
      </c>
      <c r="AR110" s="3">
        <v>31.135483870967747</v>
      </c>
      <c r="AS110" s="3">
        <v>30.914285714285722</v>
      </c>
      <c r="AT110" s="3">
        <v>42.129032258064505</v>
      </c>
      <c r="AU110" s="3">
        <v>48.033333333333331</v>
      </c>
      <c r="AV110" s="3">
        <v>36.738888888888887</v>
      </c>
      <c r="AX110">
        <v>2.0601061490544201</v>
      </c>
      <c r="AY110" s="20">
        <v>42522</v>
      </c>
      <c r="AZ110">
        <v>4907.9233966087149</v>
      </c>
      <c r="BA110" s="22">
        <v>-7.0000000000000007E-2</v>
      </c>
      <c r="BB110" s="26">
        <v>1.52</v>
      </c>
      <c r="BC110" s="30">
        <v>-1.9</v>
      </c>
      <c r="BD110">
        <v>29.78</v>
      </c>
      <c r="BE110">
        <v>28.75</v>
      </c>
      <c r="BF110">
        <v>24.5</v>
      </c>
      <c r="BG110" s="9"/>
      <c r="BH110" s="9"/>
      <c r="BI110" s="9"/>
      <c r="BJ110" s="9"/>
    </row>
    <row r="111" spans="1:62" ht="15" thickBot="1">
      <c r="A111" s="20">
        <v>42217</v>
      </c>
      <c r="B111" s="3">
        <v>8.553091397849462</v>
      </c>
      <c r="C111" s="3">
        <v>8.55510752688172</v>
      </c>
      <c r="D111" s="3">
        <v>6.6955645161290311</v>
      </c>
      <c r="E111" s="3">
        <v>5.61491935483871</v>
      </c>
      <c r="H111" s="6">
        <f t="shared" si="4"/>
        <v>5055.1238996115317</v>
      </c>
      <c r="I111" s="6">
        <f t="shared" si="5"/>
        <v>7.1782295427063882</v>
      </c>
      <c r="J111" s="3">
        <v>-0.75618279569892521</v>
      </c>
      <c r="K111" s="3">
        <v>-2.2637096774193548</v>
      </c>
      <c r="L111" s="3">
        <v>-2.3034946236559173</v>
      </c>
      <c r="M111" s="3">
        <v>-2.1659946236559158</v>
      </c>
      <c r="P111" s="3">
        <v>57.558198924731066</v>
      </c>
      <c r="Q111" s="3">
        <v>50.147311827956948</v>
      </c>
      <c r="R111" s="3">
        <v>56.64166666666673</v>
      </c>
      <c r="S111" s="3">
        <v>60.420026881720418</v>
      </c>
      <c r="V111" s="3"/>
      <c r="W111" s="3"/>
      <c r="X111" s="3"/>
      <c r="Y111" s="3"/>
      <c r="Z111" s="3"/>
      <c r="AA111" s="3"/>
      <c r="AB111" s="3"/>
      <c r="AC111" s="3">
        <v>0.93548387096774188</v>
      </c>
      <c r="AD111" s="3">
        <v>4.32258064516129</v>
      </c>
      <c r="AE111" s="3">
        <v>2.2096774193548385</v>
      </c>
      <c r="AF111" s="3">
        <v>2.129032258064516</v>
      </c>
      <c r="AG111" s="3"/>
      <c r="AH111" s="3"/>
      <c r="AI111" s="6">
        <f t="shared" si="8"/>
        <v>4532.4904994114677</v>
      </c>
      <c r="AJ111" s="6">
        <f t="shared" si="9"/>
        <v>5.1576299916963233</v>
      </c>
      <c r="AK111" s="3">
        <v>-3.4870967741935486</v>
      </c>
      <c r="AL111" s="3">
        <v>-5.3774193548387093</v>
      </c>
      <c r="AM111" s="3">
        <v>-4.9000000000000012</v>
      </c>
      <c r="AN111" s="3">
        <v>-4.645161290322581</v>
      </c>
      <c r="AO111" s="3"/>
      <c r="AP111" s="3"/>
      <c r="AQ111" s="3">
        <v>27.212903225806453</v>
      </c>
      <c r="AR111" s="3">
        <v>29.658064516129034</v>
      </c>
      <c r="AS111" s="3">
        <v>33.058064516129029</v>
      </c>
      <c r="AT111" s="3">
        <v>40.71290322580645</v>
      </c>
      <c r="AU111" s="3"/>
      <c r="AV111" s="3"/>
      <c r="AW111">
        <v>6270.5670966369998</v>
      </c>
      <c r="AX111">
        <v>2.1070453953753399</v>
      </c>
      <c r="AY111" s="20">
        <v>42552</v>
      </c>
      <c r="AZ111">
        <v>4912.4173940084056</v>
      </c>
      <c r="BA111" s="22">
        <v>-0.36</v>
      </c>
      <c r="BB111" s="26">
        <v>1.86</v>
      </c>
      <c r="BC111" s="30">
        <v>-2.4</v>
      </c>
      <c r="BD111">
        <v>29.77</v>
      </c>
      <c r="BE111">
        <v>28.79</v>
      </c>
      <c r="BF111">
        <v>22.66</v>
      </c>
      <c r="BG111">
        <v>0.112</v>
      </c>
      <c r="BH111">
        <v>0.08</v>
      </c>
      <c r="BI111">
        <v>1.86</v>
      </c>
      <c r="BJ111">
        <v>-0.76</v>
      </c>
    </row>
    <row r="112" spans="1:62" ht="15" thickBot="1">
      <c r="A112" s="20">
        <v>42248</v>
      </c>
      <c r="B112" s="3">
        <v>9.1930555555555564</v>
      </c>
      <c r="C112" s="3">
        <v>8.5263888888888886</v>
      </c>
      <c r="D112" s="3">
        <v>7.1188888888888906</v>
      </c>
      <c r="E112" s="3">
        <v>5.75</v>
      </c>
      <c r="H112" s="6">
        <f t="shared" si="4"/>
        <v>5170.63498516459</v>
      </c>
      <c r="I112" s="6">
        <f t="shared" si="5"/>
        <v>6.873288104892544</v>
      </c>
      <c r="J112" s="3">
        <v>2.1038888888888909</v>
      </c>
      <c r="K112" s="3">
        <v>0.95569444444444451</v>
      </c>
      <c r="L112" s="3">
        <v>0.86402777777777795</v>
      </c>
      <c r="M112" s="3">
        <v>0.75847222222222199</v>
      </c>
      <c r="P112" s="3">
        <v>65.8172222222221</v>
      </c>
      <c r="Q112" s="3">
        <v>61.665555555555571</v>
      </c>
      <c r="R112" s="3">
        <v>67.066388888888937</v>
      </c>
      <c r="S112" s="3">
        <v>71.957638888888994</v>
      </c>
      <c r="V112" s="3">
        <v>0.48843869888461999</v>
      </c>
      <c r="W112" s="3">
        <v>0.48843869888461999</v>
      </c>
      <c r="X112" s="3">
        <v>245.05916666666599</v>
      </c>
      <c r="Y112" s="3">
        <v>7.7</v>
      </c>
      <c r="Z112" s="3">
        <v>8.9831944444444396</v>
      </c>
      <c r="AA112" s="3">
        <v>2.4534722222222198</v>
      </c>
      <c r="AB112" s="3"/>
      <c r="AC112" s="3">
        <v>2.4333333333333331</v>
      </c>
      <c r="AD112" s="3">
        <v>4.75</v>
      </c>
      <c r="AE112" s="3">
        <v>3.1833333333333331</v>
      </c>
      <c r="AF112" s="3">
        <v>2.7333333333333334</v>
      </c>
      <c r="AG112" s="3"/>
      <c r="AH112" s="3"/>
      <c r="AI112" s="6">
        <f t="shared" si="8"/>
        <v>4764.3552838139303</v>
      </c>
      <c r="AJ112" s="6">
        <f t="shared" si="9"/>
        <v>4.8441642097960997</v>
      </c>
      <c r="AK112" s="3">
        <v>-8.6666666666666919E-2</v>
      </c>
      <c r="AL112" s="3">
        <v>-0.90000000000000024</v>
      </c>
      <c r="AM112" s="3">
        <v>-0.80666666666666664</v>
      </c>
      <c r="AN112" s="3">
        <v>-0.92000000000000015</v>
      </c>
      <c r="AO112" s="3"/>
      <c r="AP112" s="3"/>
      <c r="AQ112" s="3">
        <v>33.593333333333334</v>
      </c>
      <c r="AR112" s="3">
        <v>38.220000000000013</v>
      </c>
      <c r="AS112" s="3">
        <v>42.953333333333333</v>
      </c>
      <c r="AT112" s="3">
        <v>52.38666666666667</v>
      </c>
      <c r="AU112" s="3"/>
      <c r="AV112" s="3"/>
      <c r="AW112">
        <v>6401.2155474350002</v>
      </c>
      <c r="AX112">
        <v>2.2226442873038201</v>
      </c>
      <c r="AY112" s="20">
        <v>42583</v>
      </c>
      <c r="AZ112">
        <v>5039.5704507039791</v>
      </c>
      <c r="BA112" s="29">
        <v>-0.54</v>
      </c>
      <c r="BB112" s="26">
        <v>2.16</v>
      </c>
      <c r="BC112" s="30">
        <v>-2.7</v>
      </c>
      <c r="BD112">
        <v>29.82</v>
      </c>
      <c r="BE112">
        <v>28.93</v>
      </c>
      <c r="BF112">
        <v>23.01</v>
      </c>
      <c r="BG112">
        <v>-0.13900000000000001</v>
      </c>
      <c r="BH112">
        <v>-0.92</v>
      </c>
      <c r="BI112">
        <v>1.91</v>
      </c>
      <c r="BJ112">
        <v>-0.65</v>
      </c>
    </row>
    <row r="113" spans="1:62" ht="15" thickBot="1">
      <c r="A113" s="20">
        <v>42278</v>
      </c>
      <c r="B113" s="3">
        <v>8.90255376344086</v>
      </c>
      <c r="C113" s="3">
        <v>7.8071236559139781</v>
      </c>
      <c r="D113" s="3">
        <v>6.4420698924731168</v>
      </c>
      <c r="E113" s="3">
        <v>5.254704301075269</v>
      </c>
      <c r="H113" s="6">
        <f t="shared" si="4"/>
        <v>5157.3070538948705</v>
      </c>
      <c r="I113" s="6">
        <f t="shared" si="5"/>
        <v>6.2994487658904035</v>
      </c>
      <c r="J113" s="3">
        <v>4.3510752688172012</v>
      </c>
      <c r="K113" s="3">
        <v>2.7926075268817185</v>
      </c>
      <c r="L113" s="3">
        <v>2.4685483870967713</v>
      </c>
      <c r="M113" s="3">
        <v>1.9017473118279553</v>
      </c>
      <c r="P113" s="3">
        <v>77.228360215053684</v>
      </c>
      <c r="Q113" s="3">
        <v>73.240456989247335</v>
      </c>
      <c r="R113" s="3">
        <v>78.079166666666666</v>
      </c>
      <c r="S113" s="3">
        <v>80.139516129032287</v>
      </c>
      <c r="V113" s="3">
        <v>0.24030410464000301</v>
      </c>
      <c r="W113" s="3">
        <v>0.24030410464000301</v>
      </c>
      <c r="X113" s="3">
        <v>245.65188172043</v>
      </c>
      <c r="Y113" s="3">
        <v>49.3</v>
      </c>
      <c r="Z113" s="3">
        <v>8.7310483870967701</v>
      </c>
      <c r="AA113" s="3">
        <v>4.54798387096774</v>
      </c>
      <c r="AB113" s="3"/>
      <c r="AC113" s="3">
        <v>3.370967741935484</v>
      </c>
      <c r="AD113" s="3">
        <v>3.9838709677419355</v>
      </c>
      <c r="AE113" s="3">
        <v>2.564516129032258</v>
      </c>
      <c r="AF113" s="3">
        <v>2.3548387096774195</v>
      </c>
      <c r="AG113" s="3"/>
      <c r="AH113" s="3"/>
      <c r="AI113" s="6">
        <f t="shared" si="8"/>
        <v>4734.4272938058966</v>
      </c>
      <c r="AJ113" s="6">
        <f t="shared" si="9"/>
        <v>3.8711195897232611</v>
      </c>
      <c r="AK113" s="3">
        <v>2.0258064516129033</v>
      </c>
      <c r="AL113" s="3">
        <v>0.67096774193548381</v>
      </c>
      <c r="AM113" s="3">
        <v>0.6064516129032258</v>
      </c>
      <c r="AN113" s="3">
        <v>0.1</v>
      </c>
      <c r="AO113" s="3"/>
      <c r="AP113" s="3"/>
      <c r="AQ113" s="3">
        <v>40.438709677419354</v>
      </c>
      <c r="AR113" s="3">
        <v>46.254838709677422</v>
      </c>
      <c r="AS113" s="3">
        <v>51.264516129032259</v>
      </c>
      <c r="AT113" s="3">
        <v>62.732258064516131</v>
      </c>
      <c r="AU113" s="3"/>
      <c r="AV113" s="3"/>
      <c r="AW113">
        <v>6978.8479709399999</v>
      </c>
      <c r="AX113">
        <v>2.3450430009879</v>
      </c>
      <c r="AY113" s="20">
        <v>42614</v>
      </c>
      <c r="AZ113">
        <v>5061.201860550721</v>
      </c>
      <c r="BA113" s="29">
        <v>-0.63</v>
      </c>
      <c r="BB113" s="26">
        <v>2.42</v>
      </c>
      <c r="BC113" s="30">
        <v>-2.8</v>
      </c>
      <c r="BD113">
        <v>29.84</v>
      </c>
      <c r="BE113">
        <v>29.08</v>
      </c>
      <c r="BF113">
        <v>23.14</v>
      </c>
      <c r="BG113">
        <v>-0.40400000000000003</v>
      </c>
      <c r="BH113">
        <v>1.78</v>
      </c>
      <c r="BI113">
        <v>-0.66</v>
      </c>
      <c r="BJ113">
        <v>0.44</v>
      </c>
    </row>
    <row r="114" spans="1:62" ht="15" thickBot="1">
      <c r="A114" s="20">
        <v>42309</v>
      </c>
      <c r="B114" s="3">
        <v>8.4493055555555561</v>
      </c>
      <c r="C114" s="3">
        <v>7.6868055555555559</v>
      </c>
      <c r="D114" s="3">
        <v>6.4094444444444418</v>
      </c>
      <c r="E114" s="3">
        <v>5.3569444444444443</v>
      </c>
      <c r="H114" s="6">
        <f t="shared" si="4"/>
        <v>5247.9307226238461</v>
      </c>
      <c r="I114" s="6">
        <f t="shared" si="5"/>
        <v>5.7416290909991829</v>
      </c>
      <c r="J114" s="3">
        <v>4.587083333333335</v>
      </c>
      <c r="K114" s="3">
        <v>2.8974999999999973</v>
      </c>
      <c r="L114" s="3">
        <v>2.5002777777777769</v>
      </c>
      <c r="M114" s="3">
        <v>1.9112500000000001</v>
      </c>
      <c r="P114" s="3">
        <v>80.169027777777885</v>
      </c>
      <c r="Q114" s="3">
        <v>75.078055555555565</v>
      </c>
      <c r="R114" s="3">
        <v>79.019166666666678</v>
      </c>
      <c r="S114" s="3">
        <v>80.196388888888904</v>
      </c>
      <c r="V114" s="3">
        <v>0.21768403501558201</v>
      </c>
      <c r="W114" s="3">
        <v>0.21768403501558201</v>
      </c>
      <c r="X114" s="3">
        <v>213.36791666666599</v>
      </c>
      <c r="Y114" s="3">
        <v>40.1</v>
      </c>
      <c r="Z114" s="3">
        <v>8.3333333333333304</v>
      </c>
      <c r="AA114" s="3">
        <v>4.69569444444444</v>
      </c>
      <c r="AB114" s="3"/>
      <c r="AC114" s="3">
        <v>3.45</v>
      </c>
      <c r="AD114" s="3">
        <v>3.9</v>
      </c>
      <c r="AE114" s="3">
        <v>2.4333333333333331</v>
      </c>
      <c r="AF114" s="3">
        <v>2.25</v>
      </c>
      <c r="AG114" s="3"/>
      <c r="AH114" s="3"/>
      <c r="AI114" s="6">
        <f t="shared" si="8"/>
        <v>4696.5186799501871</v>
      </c>
      <c r="AJ114" s="6">
        <f t="shared" si="9"/>
        <v>3.9130309111479988</v>
      </c>
      <c r="AK114" s="3">
        <v>1.9733333333333334</v>
      </c>
      <c r="AL114" s="3">
        <v>0.63000000000000045</v>
      </c>
      <c r="AM114" s="3">
        <v>0.19999999999999982</v>
      </c>
      <c r="AN114" s="3">
        <v>-0.47</v>
      </c>
      <c r="AO114" s="3"/>
      <c r="AP114" s="3"/>
      <c r="AQ114" s="3">
        <v>47.673333333333318</v>
      </c>
      <c r="AR114" s="3">
        <v>50.116666666666667</v>
      </c>
      <c r="AS114" s="3">
        <v>53.839999999999989</v>
      </c>
      <c r="AT114" s="3">
        <v>65.223333333333329</v>
      </c>
      <c r="AU114" s="3"/>
      <c r="AV114" s="3"/>
      <c r="AW114">
        <v>7319.013862496</v>
      </c>
      <c r="AX114">
        <v>2.5413242578111102</v>
      </c>
      <c r="AY114" s="20">
        <v>42644</v>
      </c>
      <c r="AZ114">
        <v>5099.854350388794</v>
      </c>
      <c r="BA114" s="29">
        <v>-0.69</v>
      </c>
      <c r="BB114" s="26">
        <v>2.57</v>
      </c>
      <c r="BC114" s="30">
        <v>-0.8</v>
      </c>
      <c r="BD114">
        <v>30.13</v>
      </c>
      <c r="BE114">
        <v>29.42</v>
      </c>
      <c r="BF114">
        <v>23.93</v>
      </c>
      <c r="BG114">
        <v>-0.67600000000000005</v>
      </c>
      <c r="BH114">
        <v>-0.19</v>
      </c>
      <c r="BI114">
        <v>1.46</v>
      </c>
      <c r="BJ114">
        <v>1.74</v>
      </c>
    </row>
    <row r="115" spans="1:62" ht="15" thickBot="1">
      <c r="A115" s="20">
        <v>42339</v>
      </c>
      <c r="B115" s="3">
        <v>9.011424731182796</v>
      </c>
      <c r="C115" s="3">
        <v>7.694220430107527</v>
      </c>
      <c r="D115" s="3">
        <v>6.3723118279569881</v>
      </c>
      <c r="E115" s="3">
        <v>5.448252688172043</v>
      </c>
      <c r="H115" s="6">
        <f t="shared" si="4"/>
        <v>5279.3458163714849</v>
      </c>
      <c r="I115" s="6">
        <f t="shared" si="5"/>
        <v>5.5102098989306452</v>
      </c>
      <c r="J115" s="3">
        <v>5.6399193548387068</v>
      </c>
      <c r="K115" s="3">
        <v>4.1241935483870975</v>
      </c>
      <c r="L115" s="3">
        <v>3.7522849462365584</v>
      </c>
      <c r="M115" s="3">
        <v>2.9669354838709689</v>
      </c>
      <c r="P115" s="3">
        <v>82.523655913978615</v>
      </c>
      <c r="Q115" s="3">
        <v>79.822311827956938</v>
      </c>
      <c r="R115" s="3">
        <v>84.673790322580643</v>
      </c>
      <c r="S115" s="3">
        <v>84.584274193548211</v>
      </c>
      <c r="V115" s="3">
        <v>0.208745579272266</v>
      </c>
      <c r="W115" s="3">
        <v>0.208745579272266</v>
      </c>
      <c r="X115" s="3">
        <v>240.27379032258</v>
      </c>
      <c r="Y115" s="3">
        <v>68.900000000000006</v>
      </c>
      <c r="Z115" s="3">
        <v>8.8420698924731091</v>
      </c>
      <c r="AA115" s="3">
        <v>5.7075268817204297</v>
      </c>
      <c r="AB115" s="3"/>
      <c r="AC115" s="3">
        <v>3.8225806451612905</v>
      </c>
      <c r="AD115" s="3">
        <v>4.241935483870968</v>
      </c>
      <c r="AE115" s="3">
        <v>2.9516129032258065</v>
      </c>
      <c r="AF115" s="3">
        <v>2.806451612903226</v>
      </c>
      <c r="AG115" s="3"/>
      <c r="AH115" s="3"/>
      <c r="AI115" s="6">
        <f t="shared" si="8"/>
        <v>4876.6607415636718</v>
      </c>
      <c r="AJ115" s="6">
        <f t="shared" si="9"/>
        <v>3.4003914476129129</v>
      </c>
      <c r="AK115" s="3">
        <v>3.3838709677419363</v>
      </c>
      <c r="AL115" s="3">
        <v>2.3806451612903219</v>
      </c>
      <c r="AM115" s="3">
        <v>2.0032258064516126</v>
      </c>
      <c r="AN115" s="3">
        <v>1.1838709677419357</v>
      </c>
      <c r="AO115" s="3"/>
      <c r="AP115" s="3"/>
      <c r="AQ115" s="3">
        <v>46.609677419354846</v>
      </c>
      <c r="AR115" s="3">
        <v>55.587096774193533</v>
      </c>
      <c r="AS115" s="3">
        <v>60.374193548387112</v>
      </c>
      <c r="AT115" s="3">
        <v>72.009677419354844</v>
      </c>
      <c r="AU115" s="3"/>
      <c r="AV115" s="3"/>
      <c r="AW115">
        <v>10707.555426272</v>
      </c>
      <c r="AX115">
        <v>3.5979688932365601</v>
      </c>
      <c r="AY115" s="20">
        <v>42675</v>
      </c>
      <c r="AZ115">
        <v>5073.2827675786775</v>
      </c>
      <c r="BA115" s="29">
        <v>-0.67</v>
      </c>
      <c r="BB115" s="26">
        <v>2.64</v>
      </c>
      <c r="BC115" s="30">
        <v>-0.9</v>
      </c>
      <c r="BD115">
        <v>29.91</v>
      </c>
      <c r="BE115">
        <v>29.26</v>
      </c>
      <c r="BF115">
        <v>25.02</v>
      </c>
      <c r="BG115">
        <v>-1.1879999999999999</v>
      </c>
      <c r="BH115">
        <v>0.78</v>
      </c>
      <c r="BI115">
        <v>0.72</v>
      </c>
      <c r="BJ115">
        <v>2.2400000000000002</v>
      </c>
    </row>
    <row r="116" spans="1:62" ht="15" thickBot="1">
      <c r="A116" s="20">
        <v>42370</v>
      </c>
      <c r="B116" s="3">
        <v>9.519489247311828</v>
      </c>
      <c r="C116" s="3">
        <v>8.6787634408602159</v>
      </c>
      <c r="D116" s="3">
        <v>7.3700268817204266</v>
      </c>
      <c r="E116" s="3">
        <v>6.438844086021505</v>
      </c>
      <c r="H116" s="6">
        <f t="shared" si="4"/>
        <v>5457.7464206011682</v>
      </c>
      <c r="I116" s="6">
        <f t="shared" si="5"/>
        <v>5.4979904810085056</v>
      </c>
      <c r="J116" s="3">
        <v>5.7384408602150474</v>
      </c>
      <c r="K116" s="3">
        <v>4.2029569892473102</v>
      </c>
      <c r="L116" s="3">
        <v>3.8033602150537624</v>
      </c>
      <c r="M116" s="3">
        <v>3.2584677419354873</v>
      </c>
      <c r="P116" s="3">
        <v>81.193413978494689</v>
      </c>
      <c r="Q116" s="3">
        <v>76.524865591397798</v>
      </c>
      <c r="R116" s="3">
        <v>80.550268817204213</v>
      </c>
      <c r="S116" s="3">
        <v>81.296908602150495</v>
      </c>
      <c r="V116" s="3">
        <v>0.485358720473822</v>
      </c>
      <c r="W116" s="3">
        <v>0.485358720473822</v>
      </c>
      <c r="X116" s="3">
        <v>257.39059139784899</v>
      </c>
      <c r="Y116" s="3">
        <v>30.1</v>
      </c>
      <c r="Z116" s="3">
        <v>9.3809139784946201</v>
      </c>
      <c r="AA116" s="3">
        <v>5.8322580645161199</v>
      </c>
      <c r="AB116" s="3"/>
      <c r="AC116" s="3">
        <v>4.096774193548387</v>
      </c>
      <c r="AD116" s="3">
        <v>4.774193548387097</v>
      </c>
      <c r="AE116" s="3">
        <v>3.225806451612903</v>
      </c>
      <c r="AF116" s="3">
        <v>3.129032258064516</v>
      </c>
      <c r="AG116" s="3"/>
      <c r="AH116" s="3"/>
      <c r="AI116" s="6">
        <f t="shared" si="8"/>
        <v>4825.364468864469</v>
      </c>
      <c r="AJ116" s="6">
        <f t="shared" si="9"/>
        <v>3.878112579949859</v>
      </c>
      <c r="AK116" s="3">
        <v>3.32258064516129</v>
      </c>
      <c r="AL116" s="3">
        <v>1.9677419354838712</v>
      </c>
      <c r="AM116" s="3">
        <v>1.5741935483870966</v>
      </c>
      <c r="AN116" s="3">
        <v>0.9258064516129032</v>
      </c>
      <c r="AO116" s="3"/>
      <c r="AP116" s="3"/>
      <c r="AQ116" s="3">
        <v>47.558064516129029</v>
      </c>
      <c r="AR116" s="3">
        <v>49.387096774193559</v>
      </c>
      <c r="AS116" s="3">
        <v>53.922580645161275</v>
      </c>
      <c r="AT116" s="3">
        <v>64.732258064516131</v>
      </c>
      <c r="AU116" s="3"/>
      <c r="AV116" s="3"/>
      <c r="AW116">
        <v>10785.772780544999</v>
      </c>
      <c r="AX116">
        <v>4.1967987472937702</v>
      </c>
      <c r="AY116" s="20">
        <v>42705</v>
      </c>
      <c r="AZ116">
        <v>5161.8684341367489</v>
      </c>
      <c r="BA116" s="29">
        <v>-0.56000000000000005</v>
      </c>
      <c r="BB116" s="26">
        <v>2.48</v>
      </c>
      <c r="BC116" s="30">
        <v>-3.6</v>
      </c>
      <c r="BD116">
        <v>29.54</v>
      </c>
      <c r="BE116">
        <v>29.11</v>
      </c>
      <c r="BF116">
        <v>26.36</v>
      </c>
      <c r="BG116">
        <v>-1.63</v>
      </c>
      <c r="BH116">
        <v>2.02</v>
      </c>
      <c r="BI116">
        <v>3.13</v>
      </c>
      <c r="BJ116">
        <v>0.12</v>
      </c>
    </row>
    <row r="117" spans="1:62" ht="15" thickBot="1">
      <c r="A117" s="20">
        <v>42401</v>
      </c>
      <c r="B117" s="3">
        <v>9.6221264367816097</v>
      </c>
      <c r="C117" s="3">
        <v>8.2931034482758612</v>
      </c>
      <c r="D117" s="3">
        <v>7.0816091954023017</v>
      </c>
      <c r="E117" s="3">
        <v>5.9382183908045976</v>
      </c>
      <c r="H117" s="6">
        <f t="shared" si="4"/>
        <v>5348.4805782798539</v>
      </c>
      <c r="I117" s="6">
        <f t="shared" si="5"/>
        <v>5.8249866655503597</v>
      </c>
      <c r="J117" s="3">
        <v>7.3669540229884962</v>
      </c>
      <c r="K117" s="3">
        <v>5.6645114942528734</v>
      </c>
      <c r="L117" s="3">
        <v>5.2604885057471247</v>
      </c>
      <c r="M117" s="3">
        <v>4.1939655172413897</v>
      </c>
      <c r="P117" s="3">
        <v>87.617241379310414</v>
      </c>
      <c r="Q117" s="3">
        <v>84.74324712643687</v>
      </c>
      <c r="R117" s="3">
        <v>88.779310344827607</v>
      </c>
      <c r="S117" s="3">
        <v>88.759339080459597</v>
      </c>
      <c r="V117" s="3">
        <v>5.4852099694842102E-2</v>
      </c>
      <c r="W117" s="3">
        <v>5.4852099694842102E-2</v>
      </c>
      <c r="X117" s="3">
        <v>230.57298850574699</v>
      </c>
      <c r="Y117" s="3">
        <v>85.3</v>
      </c>
      <c r="Z117" s="3">
        <v>9.4228448275862</v>
      </c>
      <c r="AA117" s="3">
        <v>7.3300287356321796</v>
      </c>
      <c r="AB117" s="3"/>
      <c r="AC117" s="3">
        <v>5.3620689655172411</v>
      </c>
      <c r="AD117" s="3">
        <v>5.3103448275862073</v>
      </c>
      <c r="AE117" s="3">
        <v>4.3620689655172411</v>
      </c>
      <c r="AF117" s="3">
        <v>3.6896551724137931</v>
      </c>
      <c r="AG117" s="3"/>
      <c r="AH117" s="3"/>
      <c r="AI117" s="6">
        <f t="shared" si="8"/>
        <v>5222.5831714243013</v>
      </c>
      <c r="AJ117" s="6">
        <f t="shared" si="9"/>
        <v>3.9776955166348156</v>
      </c>
      <c r="AK117" s="3">
        <v>4.955172413793103</v>
      </c>
      <c r="AL117" s="3">
        <v>4.0965517241379308</v>
      </c>
      <c r="AM117" s="3">
        <v>3.6448275862068971</v>
      </c>
      <c r="AN117" s="3">
        <v>2.4034482758620692</v>
      </c>
      <c r="AO117" s="3"/>
      <c r="AP117" s="3"/>
      <c r="AQ117" s="3">
        <v>57.4551724137931</v>
      </c>
      <c r="AR117" s="3">
        <v>62.075862068965506</v>
      </c>
      <c r="AS117" s="3">
        <v>67.275862068965509</v>
      </c>
      <c r="AT117" s="3">
        <v>79.313793103448305</v>
      </c>
      <c r="AU117" s="3"/>
      <c r="AV117" s="3"/>
      <c r="AY117" s="20">
        <v>42736</v>
      </c>
      <c r="AZ117">
        <v>5063.1710057614628</v>
      </c>
      <c r="BA117" s="22">
        <v>-0.34</v>
      </c>
      <c r="BB117" s="26">
        <v>2.14</v>
      </c>
      <c r="BC117" s="30">
        <v>-3.2</v>
      </c>
      <c r="BD117">
        <v>29.41</v>
      </c>
      <c r="BE117">
        <v>29.01</v>
      </c>
      <c r="BF117">
        <v>27.4</v>
      </c>
      <c r="BG117">
        <v>-1.802</v>
      </c>
      <c r="BH117">
        <v>1.48</v>
      </c>
      <c r="BI117">
        <v>1.35</v>
      </c>
      <c r="BJ117">
        <v>1.58</v>
      </c>
    </row>
    <row r="118" spans="1:62" ht="15" thickBot="1">
      <c r="A118" s="20">
        <v>42430</v>
      </c>
      <c r="B118" s="3">
        <v>9.441532258064516</v>
      </c>
      <c r="C118" s="3">
        <v>8.5416666666666661</v>
      </c>
      <c r="D118" s="3">
        <v>7.2389784946236553</v>
      </c>
      <c r="E118" s="3">
        <v>6.121639784946237</v>
      </c>
      <c r="H118" s="6">
        <f t="shared" si="4"/>
        <v>5343.2957800320619</v>
      </c>
      <c r="I118" s="6">
        <f t="shared" si="5"/>
        <v>5.9704002707685788</v>
      </c>
      <c r="J118" s="3">
        <v>7.0391129032258073</v>
      </c>
      <c r="K118" s="3">
        <v>5.4145161290322665</v>
      </c>
      <c r="L118" s="3">
        <v>5.0141129032258069</v>
      </c>
      <c r="M118" s="3">
        <v>4.010215053763444</v>
      </c>
      <c r="P118" s="3">
        <v>87.029166666666768</v>
      </c>
      <c r="Q118" s="3">
        <v>82.490725806451607</v>
      </c>
      <c r="R118" s="3">
        <v>86.863978494623751</v>
      </c>
      <c r="S118" s="3">
        <v>86.792876344085897</v>
      </c>
      <c r="V118" s="3">
        <v>9.2365151302624099E-2</v>
      </c>
      <c r="W118" s="3">
        <v>9.2365151302624099E-2</v>
      </c>
      <c r="X118" s="3">
        <v>220.80752688172001</v>
      </c>
      <c r="Y118" s="3">
        <v>71.7</v>
      </c>
      <c r="Z118" s="3">
        <v>9.3211021505376301</v>
      </c>
      <c r="AA118" s="3">
        <v>7.0353494623655903</v>
      </c>
      <c r="AB118" s="3"/>
      <c r="AC118" s="3">
        <v>4.967741935483871</v>
      </c>
      <c r="AD118" s="3">
        <v>5.354838709677419</v>
      </c>
      <c r="AE118" s="3">
        <v>4.209677419354839</v>
      </c>
      <c r="AF118" s="3">
        <v>3.7580645161290325</v>
      </c>
      <c r="AG118" s="3"/>
      <c r="AH118" s="3"/>
      <c r="AI118" s="6">
        <f t="shared" si="8"/>
        <v>5165.6371432228343</v>
      </c>
      <c r="AJ118" s="6">
        <f t="shared" si="9"/>
        <v>3.8615292031267847</v>
      </c>
      <c r="AK118" s="3">
        <v>4.6096774193548367</v>
      </c>
      <c r="AL118" s="3">
        <v>3.7161290322580647</v>
      </c>
      <c r="AM118" s="3">
        <v>3.2935483870967741</v>
      </c>
      <c r="AN118" s="3">
        <v>2.2645161290322577</v>
      </c>
      <c r="AO118" s="3"/>
      <c r="AP118" s="3"/>
      <c r="AQ118" s="3">
        <v>59.635483870967747</v>
      </c>
      <c r="AR118" s="3">
        <v>59.677419354838726</v>
      </c>
      <c r="AS118" s="3">
        <v>65.203225806451599</v>
      </c>
      <c r="AT118" s="3">
        <v>75.187096774193549</v>
      </c>
      <c r="AU118" s="3"/>
      <c r="AV118" s="3"/>
      <c r="AY118" s="20">
        <v>42767</v>
      </c>
      <c r="AZ118">
        <v>5153.1756568863693</v>
      </c>
      <c r="BA118" s="22">
        <v>-0.16</v>
      </c>
      <c r="BB118" s="26">
        <v>1.58</v>
      </c>
      <c r="BC118" s="30">
        <v>-0.1</v>
      </c>
      <c r="BD118">
        <v>29.39</v>
      </c>
      <c r="BE118">
        <v>28.9</v>
      </c>
      <c r="BF118">
        <v>27.83</v>
      </c>
      <c r="BG118">
        <v>-1.946</v>
      </c>
      <c r="BH118">
        <v>0.73</v>
      </c>
      <c r="BI118">
        <v>4.3600000000000003</v>
      </c>
      <c r="BJ118">
        <v>0.73</v>
      </c>
    </row>
    <row r="119" spans="1:62" ht="15" thickBot="1">
      <c r="A119" s="20">
        <v>42461</v>
      </c>
      <c r="B119" s="3">
        <v>9.1395833333333325</v>
      </c>
      <c r="C119" s="3">
        <v>8.3451388888888882</v>
      </c>
      <c r="D119" s="3">
        <v>6.831388888888891</v>
      </c>
      <c r="E119" s="3">
        <v>5.8138888888888891</v>
      </c>
      <c r="H119" s="6">
        <f t="shared" si="4"/>
        <v>5223.9103526812733</v>
      </c>
      <c r="I119" s="6">
        <f t="shared" si="5"/>
        <v>6.2035930183583963</v>
      </c>
      <c r="J119" s="3">
        <v>6.1445833333333342</v>
      </c>
      <c r="K119" s="3">
        <v>4.3658333333333275</v>
      </c>
      <c r="L119" s="3">
        <v>3.9251388888888874</v>
      </c>
      <c r="M119" s="3">
        <v>3.1201388888888903</v>
      </c>
      <c r="P119" s="3">
        <v>84.022777777777776</v>
      </c>
      <c r="Q119" s="3">
        <v>78.418194444444467</v>
      </c>
      <c r="R119" s="3">
        <v>83.748333333333363</v>
      </c>
      <c r="S119" s="3">
        <v>83.892777777777624</v>
      </c>
      <c r="V119" s="3">
        <v>7.1449842817569997E-2</v>
      </c>
      <c r="W119" s="3">
        <v>7.1449842817569997E-2</v>
      </c>
      <c r="X119" s="3">
        <v>229.94499999999999</v>
      </c>
      <c r="Y119" s="3">
        <v>57.5</v>
      </c>
      <c r="Z119" s="3">
        <v>9.0133333333333301</v>
      </c>
      <c r="AA119" s="3">
        <v>6.1873611111111098</v>
      </c>
      <c r="AB119" s="3"/>
      <c r="AC119" s="3">
        <v>3.9666666666666668</v>
      </c>
      <c r="AD119" s="3">
        <v>4.75</v>
      </c>
      <c r="AE119" s="3">
        <v>3.2666666666666666</v>
      </c>
      <c r="AF119" s="3">
        <v>3.0666666666666669</v>
      </c>
      <c r="AG119" s="3"/>
      <c r="AH119" s="3"/>
      <c r="AI119" s="6">
        <f t="shared" si="8"/>
        <v>4848.5737983138069</v>
      </c>
      <c r="AJ119" s="6">
        <f t="shared" si="9"/>
        <v>3.9956147957287613</v>
      </c>
      <c r="AK119" s="3">
        <v>3.4666666666666672</v>
      </c>
      <c r="AL119" s="3">
        <v>2.2433333333333332</v>
      </c>
      <c r="AM119" s="3">
        <v>1.9000000000000012</v>
      </c>
      <c r="AN119" s="3">
        <v>1.0599999999999998</v>
      </c>
      <c r="AO119" s="3"/>
      <c r="AP119" s="3"/>
      <c r="AQ119" s="3">
        <v>53.296666666666646</v>
      </c>
      <c r="AR119" s="3">
        <v>54.609999999999985</v>
      </c>
      <c r="AS119" s="3">
        <v>58.703333333333326</v>
      </c>
      <c r="AT119" s="3">
        <v>70.56</v>
      </c>
      <c r="AU119" s="3"/>
      <c r="AV119" s="3"/>
      <c r="AY119" s="20">
        <v>42795</v>
      </c>
      <c r="AZ119">
        <v>5032.2636027826229</v>
      </c>
      <c r="BA119" s="22">
        <v>0.05</v>
      </c>
      <c r="BB119" s="26">
        <v>0.94</v>
      </c>
      <c r="BC119" s="30">
        <v>-2</v>
      </c>
      <c r="BD119">
        <v>29.37</v>
      </c>
      <c r="BE119">
        <v>28.72</v>
      </c>
      <c r="BF119">
        <v>25.98</v>
      </c>
      <c r="BG119">
        <v>-1.978</v>
      </c>
      <c r="BH119">
        <v>0.87</v>
      </c>
      <c r="BI119">
        <v>1.06</v>
      </c>
      <c r="BJ119">
        <v>0.38</v>
      </c>
    </row>
    <row r="120" spans="1:62" ht="15" thickBot="1">
      <c r="A120" s="20">
        <v>42491</v>
      </c>
      <c r="B120" s="3">
        <v>8.69758064516129</v>
      </c>
      <c r="C120" s="3">
        <v>8.5067204301075261</v>
      </c>
      <c r="D120" s="3">
        <v>6.7633064516129018</v>
      </c>
      <c r="E120" s="3">
        <v>5.8286290322580649</v>
      </c>
      <c r="H120" s="6">
        <f t="shared" si="4"/>
        <v>5146.5116415968196</v>
      </c>
      <c r="I120" s="6">
        <f t="shared" si="5"/>
        <v>6.5248145259192158</v>
      </c>
      <c r="J120" s="3">
        <v>3.656451612903231</v>
      </c>
      <c r="K120" s="3">
        <v>1.9344086021505391</v>
      </c>
      <c r="L120" s="3">
        <v>1.6873655913978494</v>
      </c>
      <c r="M120" s="3">
        <v>1.6299731182795696</v>
      </c>
      <c r="P120" s="3">
        <v>74.309274193548347</v>
      </c>
      <c r="Q120" s="3">
        <v>65.938440860214953</v>
      </c>
      <c r="R120" s="3">
        <v>72.548118279569849</v>
      </c>
      <c r="S120" s="3">
        <v>75.647983870967707</v>
      </c>
      <c r="V120" s="3">
        <v>8.9017553886084899E-3</v>
      </c>
      <c r="W120" s="3">
        <v>8.9017553886084899E-3</v>
      </c>
      <c r="X120" s="3">
        <v>214.212903225806</v>
      </c>
      <c r="Y120" s="3">
        <v>5.0999999999999996</v>
      </c>
      <c r="Z120" s="3">
        <v>8.6431451612903203</v>
      </c>
      <c r="AA120" s="3">
        <v>3.8223118279569799</v>
      </c>
      <c r="AB120" s="3"/>
      <c r="AC120" s="3">
        <v>2.225806451612903</v>
      </c>
      <c r="AD120" s="3">
        <v>4.532258064516129</v>
      </c>
      <c r="AE120" s="3">
        <v>2.3225806451612905</v>
      </c>
      <c r="AF120" s="3">
        <v>2.7419354838709675</v>
      </c>
      <c r="AG120" s="3"/>
      <c r="AH120" s="3"/>
      <c r="AI120" s="6">
        <f t="shared" si="8"/>
        <v>4526.2377699427061</v>
      </c>
      <c r="AJ120" s="6">
        <f t="shared" si="9"/>
        <v>4.0773129015474892</v>
      </c>
      <c r="AK120" s="3">
        <v>1.2322580645161294</v>
      </c>
      <c r="AL120" s="3">
        <v>-0.57419354838709669</v>
      </c>
      <c r="AM120" s="3">
        <v>-0.46774193548387072</v>
      </c>
      <c r="AN120" s="3">
        <v>-0.44516129032258078</v>
      </c>
      <c r="AO120" s="3"/>
      <c r="AP120" s="3"/>
      <c r="AQ120" s="3">
        <v>41.687096774193556</v>
      </c>
      <c r="AR120" s="3">
        <v>41.496774193548397</v>
      </c>
      <c r="AS120" s="3">
        <v>46.425806451612885</v>
      </c>
      <c r="AT120" s="3">
        <v>59.483870967741929</v>
      </c>
      <c r="AU120" s="3"/>
      <c r="AV120" s="3"/>
      <c r="AY120" s="20">
        <v>42826</v>
      </c>
      <c r="AZ120">
        <v>5102.8661276268977</v>
      </c>
      <c r="BA120" s="22">
        <v>0.2</v>
      </c>
      <c r="BB120" s="26">
        <v>0.39</v>
      </c>
      <c r="BC120" s="30">
        <v>0.7</v>
      </c>
      <c r="BD120">
        <v>29.45</v>
      </c>
      <c r="BE120">
        <v>28.23</v>
      </c>
      <c r="BF120">
        <v>24.9</v>
      </c>
      <c r="BG120">
        <v>-1.7629999999999999</v>
      </c>
      <c r="BH120">
        <v>-1.06</v>
      </c>
      <c r="BI120">
        <v>-0.92</v>
      </c>
      <c r="BJ120">
        <v>-0.77</v>
      </c>
    </row>
    <row r="121" spans="1:62" ht="15" thickBot="1">
      <c r="A121" s="20">
        <v>42522</v>
      </c>
      <c r="B121" s="3">
        <v>7.7555555555555555</v>
      </c>
      <c r="C121" s="3">
        <v>7.9312500000000004</v>
      </c>
      <c r="D121" s="3">
        <v>5.8215277777777752</v>
      </c>
      <c r="E121" s="3">
        <v>4.9013888888888886</v>
      </c>
      <c r="H121" s="6">
        <f t="shared" si="4"/>
        <v>4907.9233966087149</v>
      </c>
      <c r="I121" s="6">
        <f t="shared" si="5"/>
        <v>7.3444343279185844</v>
      </c>
      <c r="J121" s="3">
        <v>-0.66305555555555595</v>
      </c>
      <c r="K121" s="3">
        <v>-2.1862499999999985</v>
      </c>
      <c r="L121" s="3">
        <v>-2.113472222222224</v>
      </c>
      <c r="M121" s="3">
        <v>-1.8481944444444438</v>
      </c>
      <c r="P121" s="3">
        <v>62.158888888888733</v>
      </c>
      <c r="Q121" s="3">
        <v>53.41833333333318</v>
      </c>
      <c r="R121" s="3">
        <v>61.091388888888829</v>
      </c>
      <c r="S121" s="3">
        <v>64.655277777777627</v>
      </c>
      <c r="V121" s="3">
        <v>0.60421396825717499</v>
      </c>
      <c r="W121" s="3">
        <v>0.60421396825717499</v>
      </c>
      <c r="X121" s="3">
        <v>203.33652777777701</v>
      </c>
      <c r="Y121" s="3">
        <v>2.1</v>
      </c>
      <c r="Z121" s="3">
        <v>7.7206944444444403</v>
      </c>
      <c r="AA121" s="3">
        <v>-0.54138888888888803</v>
      </c>
      <c r="AB121" s="3"/>
      <c r="AC121" s="3">
        <v>1.35</v>
      </c>
      <c r="AD121" s="3">
        <v>4.0666666666666664</v>
      </c>
      <c r="AE121" s="3">
        <v>1.5166666666666666</v>
      </c>
      <c r="AF121" s="3">
        <v>1.8666666666666667</v>
      </c>
      <c r="AG121" s="3"/>
      <c r="AH121" s="3"/>
      <c r="AI121" s="6">
        <f t="shared" si="8"/>
        <v>4409.1849105974707</v>
      </c>
      <c r="AJ121" s="6">
        <f t="shared" si="9"/>
        <v>5.0553724946114</v>
      </c>
      <c r="AK121" s="3">
        <v>-3.77</v>
      </c>
      <c r="AL121" s="3">
        <v>-4.996666666666667</v>
      </c>
      <c r="AM121" s="3">
        <v>-4.67</v>
      </c>
      <c r="AN121" s="3">
        <v>-4.3066666666666666</v>
      </c>
      <c r="AO121" s="3"/>
      <c r="AP121" s="3"/>
      <c r="AQ121" s="3">
        <v>33.486666666666672</v>
      </c>
      <c r="AR121" s="3">
        <v>34.373333333333342</v>
      </c>
      <c r="AS121" s="3">
        <v>38.776666666666671</v>
      </c>
      <c r="AT121" s="3">
        <v>49.359999999999985</v>
      </c>
      <c r="AU121" s="3"/>
      <c r="AV121" s="3"/>
      <c r="AY121" s="20">
        <v>42856</v>
      </c>
      <c r="AZ121">
        <v>5120.0600384384979</v>
      </c>
      <c r="BA121" s="22">
        <v>0.3</v>
      </c>
      <c r="BB121" s="22">
        <v>-7.0000000000000007E-2</v>
      </c>
      <c r="BC121" s="30">
        <v>1.1000000000000001</v>
      </c>
      <c r="BD121">
        <v>29.35</v>
      </c>
      <c r="BE121">
        <v>27.69</v>
      </c>
      <c r="BF121">
        <v>23.77</v>
      </c>
      <c r="BG121">
        <v>-1.4410000000000001</v>
      </c>
      <c r="BH121">
        <v>-0.7</v>
      </c>
      <c r="BI121">
        <v>3.66</v>
      </c>
      <c r="BJ121">
        <v>-0.43</v>
      </c>
    </row>
    <row r="122" spans="1:62" ht="15" thickBot="1">
      <c r="A122" s="20">
        <v>42552</v>
      </c>
      <c r="B122" s="3">
        <v>7.737903225806452</v>
      </c>
      <c r="C122" s="3">
        <v>8.0887096774193541</v>
      </c>
      <c r="D122" s="3">
        <v>5.9581989247311826</v>
      </c>
      <c r="E122" s="3">
        <v>5.001344086021505</v>
      </c>
      <c r="H122" s="6">
        <f t="shared" si="4"/>
        <v>4912.4173940084056</v>
      </c>
      <c r="I122" s="6">
        <f t="shared" si="5"/>
        <v>7.4890729532716396</v>
      </c>
      <c r="J122" s="3">
        <v>-2.2091397849462386</v>
      </c>
      <c r="K122" s="3">
        <v>-4.4620967741935491</v>
      </c>
      <c r="L122" s="3">
        <v>-4.5920698924731207</v>
      </c>
      <c r="M122" s="3">
        <v>-4.7025537634408527</v>
      </c>
      <c r="P122" s="3">
        <v>56.122311827956771</v>
      </c>
      <c r="Q122" s="3">
        <v>45.19220430107513</v>
      </c>
      <c r="R122" s="3">
        <v>51.518279569892464</v>
      </c>
      <c r="S122" s="3">
        <v>53.248252688171959</v>
      </c>
      <c r="V122" s="3">
        <v>0.69090358208609604</v>
      </c>
      <c r="W122" s="3">
        <v>0.69090358208609604</v>
      </c>
      <c r="X122" s="3">
        <v>214.90309139784901</v>
      </c>
      <c r="Y122" s="3">
        <v>1.1000000000000001</v>
      </c>
      <c r="Z122" s="3">
        <v>7.6672043010752597</v>
      </c>
      <c r="AA122" s="3">
        <v>-1.9813172043010701</v>
      </c>
      <c r="AB122" s="3"/>
      <c r="AC122" s="3">
        <v>0.4838709677419355</v>
      </c>
      <c r="AD122" s="3">
        <v>3.7096774193548385</v>
      </c>
      <c r="AE122" s="3">
        <v>1.0806451612903225</v>
      </c>
      <c r="AF122" s="3">
        <v>1.435483870967742</v>
      </c>
      <c r="AG122" s="3"/>
      <c r="AH122" s="3"/>
      <c r="AI122" s="6">
        <f t="shared" si="8"/>
        <v>4359.1892018579283</v>
      </c>
      <c r="AJ122" s="6">
        <f t="shared" si="9"/>
        <v>5.2277596936830522</v>
      </c>
      <c r="AK122" s="3">
        <v>-5.1548387096774189</v>
      </c>
      <c r="AL122" s="3">
        <v>-7.7096774193548399</v>
      </c>
      <c r="AM122" s="3">
        <v>-7.4032258064516121</v>
      </c>
      <c r="AN122" s="3">
        <v>-7.3129032258064512</v>
      </c>
      <c r="AO122" s="3"/>
      <c r="AP122" s="3"/>
      <c r="AQ122" s="3">
        <v>26.62903225806452</v>
      </c>
      <c r="AR122" s="3">
        <v>26.412903225806453</v>
      </c>
      <c r="AS122" s="3">
        <v>28.990322580645159</v>
      </c>
      <c r="AT122" s="3">
        <v>36.080645161290327</v>
      </c>
      <c r="AU122" s="3"/>
      <c r="AV122" s="3"/>
      <c r="AY122" s="20">
        <v>42887</v>
      </c>
      <c r="AZ122">
        <v>4992.0840881866006</v>
      </c>
      <c r="BA122" s="22">
        <v>0.31</v>
      </c>
      <c r="BB122" s="22">
        <v>-0.36</v>
      </c>
      <c r="BC122" s="30">
        <v>0.7</v>
      </c>
      <c r="BD122">
        <v>29.05</v>
      </c>
      <c r="BE122">
        <v>26.82</v>
      </c>
      <c r="BF122">
        <v>22.21</v>
      </c>
      <c r="BG122">
        <v>-0.96799999999999997</v>
      </c>
      <c r="BH122">
        <v>1.02</v>
      </c>
      <c r="BI122">
        <v>0.81</v>
      </c>
      <c r="BJ122">
        <v>-1.76</v>
      </c>
    </row>
    <row r="123" spans="1:62" ht="15" thickBot="1">
      <c r="A123" s="20">
        <v>42583</v>
      </c>
      <c r="B123" s="3">
        <v>8.3393817204301079</v>
      </c>
      <c r="C123" s="3">
        <v>8.4943899018232827</v>
      </c>
      <c r="D123" s="3">
        <v>6.7491935483870948</v>
      </c>
      <c r="E123" s="3">
        <v>5.460349462365591</v>
      </c>
      <c r="H123" s="6">
        <f t="shared" si="4"/>
        <v>5039.5704507039791</v>
      </c>
      <c r="I123" s="6">
        <f t="shared" si="5"/>
        <v>7.4547012480486687</v>
      </c>
      <c r="J123" s="3">
        <v>0.47338709677419344</v>
      </c>
      <c r="K123" s="3">
        <v>-0.5504908835904635</v>
      </c>
      <c r="L123" s="3">
        <v>-0.71303763440860179</v>
      </c>
      <c r="M123" s="3">
        <v>-0.81599462365591335</v>
      </c>
      <c r="P123" s="3">
        <v>62.39704301075264</v>
      </c>
      <c r="Q123" s="3">
        <v>55.435343618513329</v>
      </c>
      <c r="R123" s="3">
        <v>61.734811827956953</v>
      </c>
      <c r="S123" s="3">
        <v>65.724596774193571</v>
      </c>
      <c r="V123" s="3">
        <v>0.438184049252555</v>
      </c>
      <c r="W123" s="3">
        <v>0.438184049252555</v>
      </c>
      <c r="X123" s="3">
        <v>244.156451612903</v>
      </c>
      <c r="Y123" s="3">
        <v>0.8</v>
      </c>
      <c r="Z123" s="3">
        <v>8.2495967741935399</v>
      </c>
      <c r="AA123" s="3">
        <v>0.74973118279569795</v>
      </c>
      <c r="AB123" s="3"/>
      <c r="AC123" s="3">
        <v>0.967741935483871</v>
      </c>
      <c r="AD123" s="3">
        <v>4.064516129032258</v>
      </c>
      <c r="AE123" s="3">
        <v>2.129032258064516</v>
      </c>
      <c r="AF123" s="3">
        <v>1.8870967741935485</v>
      </c>
      <c r="AG123" s="3"/>
      <c r="AH123" s="3"/>
      <c r="AI123" s="6">
        <f t="shared" si="8"/>
        <v>4538.1657534246579</v>
      </c>
      <c r="AJ123" s="6">
        <f t="shared" si="9"/>
        <v>5.1638237830398799</v>
      </c>
      <c r="AK123" s="3">
        <v>-1.5999999999999996</v>
      </c>
      <c r="AL123" s="3">
        <v>-2.4612903225806457</v>
      </c>
      <c r="AM123" s="3">
        <v>-2.5612903225806454</v>
      </c>
      <c r="AN123" s="3">
        <v>-2.7290322580645161</v>
      </c>
      <c r="AO123" s="3"/>
      <c r="AP123" s="3"/>
      <c r="AQ123" s="3">
        <v>31.029032258064518</v>
      </c>
      <c r="AR123" s="3">
        <v>32.796774193548387</v>
      </c>
      <c r="AS123" s="3">
        <v>35.054838709677419</v>
      </c>
      <c r="AT123" s="3">
        <v>43.774193548387103</v>
      </c>
      <c r="AU123" s="3"/>
      <c r="AV123" s="3"/>
      <c r="AW123">
        <v>4311.932053734</v>
      </c>
      <c r="AX123">
        <v>1.92841326195617</v>
      </c>
      <c r="AY123" s="20">
        <v>42917</v>
      </c>
      <c r="AZ123">
        <v>4891.8756226199821</v>
      </c>
      <c r="BA123" s="22">
        <v>0.14000000000000001</v>
      </c>
      <c r="BB123" s="29">
        <v>-0.54</v>
      </c>
      <c r="BC123" s="30">
        <v>1.2</v>
      </c>
      <c r="BD123">
        <v>28.73</v>
      </c>
      <c r="BE123">
        <v>26.28</v>
      </c>
      <c r="BF123">
        <v>21.25</v>
      </c>
      <c r="BG123">
        <v>-0.50800000000000001</v>
      </c>
      <c r="BH123">
        <v>-0.88</v>
      </c>
      <c r="BI123">
        <v>-1.28</v>
      </c>
      <c r="BJ123">
        <v>-1.65</v>
      </c>
    </row>
    <row r="124" spans="1:62" ht="15" thickBot="1">
      <c r="A124" s="20">
        <v>42614</v>
      </c>
      <c r="B124" s="3">
        <v>8.2715277777777771</v>
      </c>
      <c r="C124" s="3">
        <v>7.864583333333333</v>
      </c>
      <c r="D124" s="3">
        <v>6.2383333333333288</v>
      </c>
      <c r="E124" s="3">
        <v>5.1305555555555555</v>
      </c>
      <c r="H124" s="6">
        <f t="shared" si="4"/>
        <v>5061.201860550721</v>
      </c>
      <c r="I124" s="6">
        <f t="shared" si="5"/>
        <v>6.7029502404567411</v>
      </c>
      <c r="J124" s="3">
        <v>1.6455555555555568</v>
      </c>
      <c r="K124" s="3">
        <v>0.16111111111111054</v>
      </c>
      <c r="L124" s="3">
        <v>-0.12652777777777693</v>
      </c>
      <c r="M124" s="3">
        <v>-0.39402777777777864</v>
      </c>
      <c r="P124" s="3">
        <v>68.014861111111045</v>
      </c>
      <c r="Q124" s="3">
        <v>61.68736111111113</v>
      </c>
      <c r="R124" s="3">
        <v>67.339999999999961</v>
      </c>
      <c r="S124" s="3">
        <v>70.254166666666663</v>
      </c>
      <c r="V124" s="3">
        <v>0.19695830229443401</v>
      </c>
      <c r="W124" s="3">
        <v>0.19695830229443401</v>
      </c>
      <c r="X124" s="3">
        <v>242.03666666666601</v>
      </c>
      <c r="Y124" s="3">
        <v>13.1</v>
      </c>
      <c r="Z124" s="3">
        <v>8.1233333333333295</v>
      </c>
      <c r="AA124" s="3">
        <v>1.85680555555555</v>
      </c>
      <c r="AB124" s="3"/>
      <c r="AC124" s="3">
        <v>1.3666666666666667</v>
      </c>
      <c r="AD124" s="3">
        <v>3.6833333333333331</v>
      </c>
      <c r="AE124" s="3">
        <v>1.9166666666666667</v>
      </c>
      <c r="AF124" s="3">
        <v>1.8</v>
      </c>
      <c r="AG124" s="3"/>
      <c r="AH124" s="3"/>
      <c r="AI124" s="6">
        <f t="shared" si="8"/>
        <v>4541.0601147418311</v>
      </c>
      <c r="AJ124" s="6">
        <f t="shared" si="9"/>
        <v>4.4411548530419775</v>
      </c>
      <c r="AK124" s="3">
        <v>-0.46333333333333321</v>
      </c>
      <c r="AL124" s="3">
        <v>-2.2066666666666666</v>
      </c>
      <c r="AM124" s="3">
        <v>-2.4166666666666665</v>
      </c>
      <c r="AN124" s="3">
        <v>-2.8099999999999992</v>
      </c>
      <c r="AO124" s="3"/>
      <c r="AP124" s="3"/>
      <c r="AQ124" s="3">
        <v>32.720000000000006</v>
      </c>
      <c r="AR124" s="3">
        <v>37.013333333333335</v>
      </c>
      <c r="AS124" s="3">
        <v>40.696666666666665</v>
      </c>
      <c r="AT124" s="3">
        <v>49.84</v>
      </c>
      <c r="AU124" s="3"/>
      <c r="AV124" s="3"/>
      <c r="AW124">
        <v>4670.6073509199996</v>
      </c>
      <c r="AX124">
        <v>1.62173866351389</v>
      </c>
      <c r="AY124" s="20">
        <v>42948</v>
      </c>
      <c r="AZ124">
        <v>5002.3829002366838</v>
      </c>
      <c r="BA124" s="22">
        <v>-0.11</v>
      </c>
      <c r="BB124" s="29">
        <v>-0.63</v>
      </c>
      <c r="BC124" s="30">
        <v>2</v>
      </c>
      <c r="BD124">
        <v>28.51</v>
      </c>
      <c r="BE124">
        <v>26.14</v>
      </c>
      <c r="BF124">
        <v>21.29</v>
      </c>
      <c r="BG124">
        <v>-0.10100000000000001</v>
      </c>
      <c r="BH124">
        <v>0.18</v>
      </c>
      <c r="BI124">
        <v>2.46</v>
      </c>
      <c r="BJ124">
        <v>0.61</v>
      </c>
    </row>
    <row r="125" spans="1:62" ht="15" thickBot="1">
      <c r="A125" s="20">
        <v>42644</v>
      </c>
      <c r="B125" s="3">
        <v>8.0013440860215059</v>
      </c>
      <c r="C125" s="3">
        <v>7.5</v>
      </c>
      <c r="D125" s="3">
        <v>5.936021505376341</v>
      </c>
      <c r="E125" s="3">
        <v>5.018817204301075</v>
      </c>
      <c r="H125" s="6">
        <f t="shared" si="4"/>
        <v>5099.854350388794</v>
      </c>
      <c r="I125" s="6">
        <f t="shared" si="5"/>
        <v>6.0590397518860426</v>
      </c>
      <c r="J125" s="3">
        <v>3.3809139784946245</v>
      </c>
      <c r="K125" s="3">
        <v>2.1475806451612902</v>
      </c>
      <c r="L125" s="3">
        <v>1.7732526881720432</v>
      </c>
      <c r="M125" s="3">
        <v>1.148655913978494</v>
      </c>
      <c r="P125" s="3">
        <v>76.621236559139632</v>
      </c>
      <c r="Q125" s="3">
        <v>71.390860215053692</v>
      </c>
      <c r="R125" s="3">
        <v>77.028225806451516</v>
      </c>
      <c r="S125" s="3">
        <v>77.326612903225737</v>
      </c>
      <c r="V125" s="3">
        <v>0.35419983777700098</v>
      </c>
      <c r="W125" s="3">
        <v>0.35419983777700098</v>
      </c>
      <c r="X125" s="3">
        <v>235.82956989247299</v>
      </c>
      <c r="Y125" s="3">
        <v>40.200000000000003</v>
      </c>
      <c r="Z125" s="3">
        <v>7.8817204301075199</v>
      </c>
      <c r="AA125" s="3">
        <v>3.4643817204301</v>
      </c>
      <c r="AB125" s="3"/>
      <c r="AC125" s="3">
        <v>2</v>
      </c>
      <c r="AD125" s="3">
        <v>3.403225806451613</v>
      </c>
      <c r="AE125" s="3">
        <v>1.8193548387096774</v>
      </c>
      <c r="AF125" s="3">
        <v>1.8548387096774193</v>
      </c>
      <c r="AG125" s="3"/>
      <c r="AH125" s="3"/>
      <c r="AI125" s="6">
        <f t="shared" si="8"/>
        <v>4564.9242793711646</v>
      </c>
      <c r="AJ125" s="6">
        <f t="shared" si="9"/>
        <v>3.6154958269830324</v>
      </c>
      <c r="AK125" s="3">
        <v>0.88064516129032255</v>
      </c>
      <c r="AL125" s="3">
        <v>0.25161290322580615</v>
      </c>
      <c r="AM125" s="3">
        <v>-0.22903225806451616</v>
      </c>
      <c r="AN125" s="3">
        <v>-0.97419354838709682</v>
      </c>
      <c r="AO125" s="3"/>
      <c r="AP125" s="3"/>
      <c r="AQ125" s="3">
        <v>41.258064516129039</v>
      </c>
      <c r="AR125" s="3">
        <v>45.516129032258057</v>
      </c>
      <c r="AS125" s="3">
        <v>49.793548387096784</v>
      </c>
      <c r="AT125" s="3">
        <v>59.819354838709657</v>
      </c>
      <c r="AU125" s="3"/>
      <c r="AV125" s="3"/>
      <c r="AW125">
        <v>4860.1897090789998</v>
      </c>
      <c r="AX125">
        <v>1.63312826245934</v>
      </c>
      <c r="AY125" s="20">
        <v>42979</v>
      </c>
      <c r="AZ125">
        <v>5038.7564337590375</v>
      </c>
      <c r="BA125" s="22">
        <v>-0.38</v>
      </c>
      <c r="BB125" s="29">
        <v>-0.69</v>
      </c>
      <c r="BC125" s="30">
        <v>-0.4</v>
      </c>
      <c r="BD125">
        <v>28.32</v>
      </c>
      <c r="BE125">
        <v>25.98</v>
      </c>
      <c r="BF125">
        <v>21.36</v>
      </c>
      <c r="BG125">
        <v>0.32400000000000001</v>
      </c>
      <c r="BH125">
        <v>1.24</v>
      </c>
      <c r="BI125">
        <v>-0.89</v>
      </c>
      <c r="BJ125">
        <v>0.41</v>
      </c>
    </row>
    <row r="126" spans="1:62" ht="15" thickBot="1">
      <c r="A126" s="20">
        <v>42675</v>
      </c>
      <c r="B126" s="3">
        <v>8.1590277777777782</v>
      </c>
      <c r="C126" s="3">
        <v>8.2145833333333336</v>
      </c>
      <c r="D126" s="3">
        <v>6.1727777777777693</v>
      </c>
      <c r="E126" s="3">
        <v>5.8326388888888889</v>
      </c>
      <c r="H126" s="6">
        <f t="shared" si="4"/>
        <v>5073.2827675786775</v>
      </c>
      <c r="I126" s="6">
        <f t="shared" si="5"/>
        <v>5.6694318504020451</v>
      </c>
      <c r="J126" s="3">
        <v>-1.3006944444444448</v>
      </c>
      <c r="K126" s="3">
        <v>-2.9487499999999986</v>
      </c>
      <c r="L126" s="3">
        <v>-3.3063888888888879</v>
      </c>
      <c r="M126" s="3">
        <v>-3.440555555555552</v>
      </c>
      <c r="P126" s="3">
        <v>58.080416666666565</v>
      </c>
      <c r="Q126" s="3">
        <v>49.988611111110885</v>
      </c>
      <c r="R126" s="3">
        <v>55.950833333333279</v>
      </c>
      <c r="S126" s="3">
        <v>56.289861111111023</v>
      </c>
      <c r="V126" s="3">
        <v>0.53978706275518895</v>
      </c>
      <c r="W126" s="3">
        <v>0.53978706275518895</v>
      </c>
      <c r="X126" s="3">
        <v>299.45944444444399</v>
      </c>
      <c r="Y126" s="3">
        <v>9</v>
      </c>
      <c r="Z126" s="3">
        <v>8.0891666666666602</v>
      </c>
      <c r="AA126" s="3">
        <v>-1.0561111111111099</v>
      </c>
      <c r="AB126" s="3"/>
      <c r="AC126" s="3">
        <v>0.1</v>
      </c>
      <c r="AD126" s="3">
        <v>2.9166666666666665</v>
      </c>
      <c r="AE126" s="3">
        <v>0.18333333333333332</v>
      </c>
      <c r="AF126" s="3">
        <v>1.35</v>
      </c>
      <c r="AG126" s="3"/>
      <c r="AH126" s="3"/>
      <c r="AI126" s="6">
        <f t="shared" si="8"/>
        <v>4250.6238924985237</v>
      </c>
      <c r="AJ126" s="6">
        <f t="shared" si="9"/>
        <v>3.3500152780186467</v>
      </c>
      <c r="AK126" s="3">
        <v>-4.4466666666666672</v>
      </c>
      <c r="AL126" s="3">
        <v>-5.9633333333333329</v>
      </c>
      <c r="AM126" s="3">
        <v>-6.4533333333333331</v>
      </c>
      <c r="AN126" s="3">
        <v>-7.0000000000000009</v>
      </c>
      <c r="AO126" s="3"/>
      <c r="AP126" s="3"/>
      <c r="AQ126" s="3">
        <v>25.886666666666667</v>
      </c>
      <c r="AR126" s="3">
        <v>30.256666666666668</v>
      </c>
      <c r="AS126" s="3">
        <v>33.696666666666665</v>
      </c>
      <c r="AT126" s="3">
        <v>39.720000000000006</v>
      </c>
      <c r="AU126" s="3"/>
      <c r="AV126" s="3"/>
      <c r="AW126">
        <v>7855.0068259769996</v>
      </c>
      <c r="AX126">
        <v>2.7274329256864598</v>
      </c>
      <c r="AY126" s="20">
        <v>43009</v>
      </c>
      <c r="AZ126">
        <v>5116.2233518209605</v>
      </c>
      <c r="BA126" s="29">
        <v>-0.65</v>
      </c>
      <c r="BB126" s="29">
        <v>-0.67</v>
      </c>
      <c r="BC126" s="30">
        <v>-0.2</v>
      </c>
      <c r="BD126">
        <v>28.24</v>
      </c>
      <c r="BE126">
        <v>25.94</v>
      </c>
      <c r="BF126">
        <v>21.78</v>
      </c>
      <c r="BG126">
        <v>0.69</v>
      </c>
      <c r="BH126">
        <v>1.52</v>
      </c>
      <c r="BI126">
        <v>-3.12</v>
      </c>
      <c r="BJ126">
        <v>-0.16</v>
      </c>
    </row>
    <row r="127" spans="1:62" ht="15" thickBot="1">
      <c r="A127" s="20">
        <v>42705</v>
      </c>
      <c r="B127" s="3">
        <v>7.776209677419355</v>
      </c>
      <c r="C127" s="3">
        <v>6.8696236559139781</v>
      </c>
      <c r="D127" s="3">
        <v>5.7772849462365565</v>
      </c>
      <c r="E127" s="3">
        <v>4.606182795698925</v>
      </c>
      <c r="H127" s="6">
        <f t="shared" si="4"/>
        <v>5161.8684341367489</v>
      </c>
      <c r="I127" s="6">
        <f t="shared" si="5"/>
        <v>5.6184447376616324</v>
      </c>
      <c r="J127" s="3">
        <v>5.7352150537634392</v>
      </c>
      <c r="K127" s="3">
        <v>4.4612903225806386</v>
      </c>
      <c r="L127" s="3">
        <v>3.8271505376344077</v>
      </c>
      <c r="M127" s="3">
        <v>2.5610215053763459</v>
      </c>
      <c r="P127" s="3">
        <v>88.647043010752725</v>
      </c>
      <c r="Q127" s="3">
        <v>86.168682795698871</v>
      </c>
      <c r="R127" s="3">
        <v>88.440188172043108</v>
      </c>
      <c r="S127" s="3">
        <v>87.171908602150594</v>
      </c>
      <c r="V127" s="3">
        <v>0.33179665315991402</v>
      </c>
      <c r="W127" s="3">
        <v>0.33179665315991402</v>
      </c>
      <c r="X127" s="3">
        <v>186.074596774193</v>
      </c>
      <c r="Y127" s="3">
        <v>83.6</v>
      </c>
      <c r="Z127" s="3">
        <v>7.5943548387096698</v>
      </c>
      <c r="AA127" s="3">
        <v>5.7135752688172001</v>
      </c>
      <c r="AB127" s="3"/>
      <c r="AC127" s="3">
        <v>3.8548387096774195</v>
      </c>
      <c r="AD127" s="3">
        <v>3.774193548387097</v>
      </c>
      <c r="AE127" s="3">
        <v>2.629032258064516</v>
      </c>
      <c r="AF127" s="3">
        <v>2.032258064516129</v>
      </c>
      <c r="AG127" s="3"/>
      <c r="AH127" s="3"/>
      <c r="AI127" s="6">
        <f t="shared" si="8"/>
        <v>4758.2081442956733</v>
      </c>
      <c r="AJ127" s="6">
        <f t="shared" si="9"/>
        <v>4.240948872849855</v>
      </c>
      <c r="AK127" s="3">
        <v>3.6967741935483875</v>
      </c>
      <c r="AL127" s="3">
        <v>2.7838709677419358</v>
      </c>
      <c r="AM127" s="3">
        <v>2.1032258064516136</v>
      </c>
      <c r="AN127" s="3">
        <v>0.80967741935483861</v>
      </c>
      <c r="AO127" s="3"/>
      <c r="AP127" s="3"/>
      <c r="AQ127" s="3">
        <v>58.935483870967751</v>
      </c>
      <c r="AR127" s="3">
        <v>60.916129032258063</v>
      </c>
      <c r="AS127" s="3">
        <v>64.132258064516122</v>
      </c>
      <c r="AT127" s="3">
        <v>71.603225806451618</v>
      </c>
      <c r="AU127" s="3"/>
      <c r="AV127" s="3"/>
      <c r="AW127">
        <v>6856.4474951929997</v>
      </c>
      <c r="AX127">
        <v>2.3039138088686202</v>
      </c>
      <c r="AY127" s="20">
        <v>43040</v>
      </c>
      <c r="AZ127">
        <v>5144.1700632464908</v>
      </c>
      <c r="BA127" s="29">
        <v>-0.84</v>
      </c>
      <c r="BB127" s="29">
        <v>-0.56000000000000005</v>
      </c>
      <c r="BC127" s="30">
        <v>0.5</v>
      </c>
      <c r="BD127">
        <v>28.35</v>
      </c>
      <c r="BE127">
        <v>26.1</v>
      </c>
      <c r="BF127">
        <v>23.24</v>
      </c>
      <c r="BG127">
        <v>1.097</v>
      </c>
      <c r="BH127">
        <v>-0.35</v>
      </c>
      <c r="BI127">
        <v>-1.52</v>
      </c>
      <c r="BJ127">
        <v>0.48</v>
      </c>
    </row>
    <row r="128" spans="1:62" ht="15" thickBot="1">
      <c r="A128" s="20">
        <v>42736</v>
      </c>
      <c r="B128" s="3">
        <v>7.522849462365591</v>
      </c>
      <c r="C128" s="3">
        <v>6.477822580645161</v>
      </c>
      <c r="D128" s="3">
        <v>5.3288978494623613</v>
      </c>
      <c r="E128" s="3">
        <v>4.1606182795698921</v>
      </c>
      <c r="H128" s="6">
        <f t="shared" si="4"/>
        <v>5063.1710057614628</v>
      </c>
      <c r="I128" s="6">
        <f t="shared" si="5"/>
        <v>5.7435493328154523</v>
      </c>
      <c r="J128" s="3">
        <v>6.1107526881720506</v>
      </c>
      <c r="K128" s="3">
        <v>4.5693548387096721</v>
      </c>
      <c r="L128" s="3">
        <v>3.9465053763440858</v>
      </c>
      <c r="M128" s="3">
        <v>2.5577956989247328</v>
      </c>
      <c r="P128" s="3">
        <v>91.221639784946234</v>
      </c>
      <c r="Q128" s="3">
        <v>88.424731182795654</v>
      </c>
      <c r="R128" s="3">
        <v>91.213844086021467</v>
      </c>
      <c r="S128" s="3">
        <v>89.68427419354849</v>
      </c>
      <c r="V128" s="3">
        <v>0.17945945452414</v>
      </c>
      <c r="W128" s="3">
        <v>0.17945945452414</v>
      </c>
      <c r="X128" s="3">
        <v>179.44650537634399</v>
      </c>
      <c r="Y128" s="3">
        <v>90.9</v>
      </c>
      <c r="Z128" s="3">
        <v>7.38440860215053</v>
      </c>
      <c r="AA128" s="3">
        <v>5.9756720430107499</v>
      </c>
      <c r="AB128" s="3"/>
      <c r="AC128" s="3">
        <v>3.8548387096774195</v>
      </c>
      <c r="AD128" s="3">
        <v>3.693548387096774</v>
      </c>
      <c r="AE128" s="3">
        <v>2.629032258064516</v>
      </c>
      <c r="AF128" s="3">
        <v>1.8548387096774193</v>
      </c>
      <c r="AG128" s="3"/>
      <c r="AH128" s="3"/>
      <c r="AI128" s="6">
        <f t="shared" si="8"/>
        <v>4726.9880952380954</v>
      </c>
      <c r="AJ128" s="6">
        <f t="shared" si="9"/>
        <v>4.5158732886154906</v>
      </c>
      <c r="AK128" s="3">
        <v>3.7064516129032254</v>
      </c>
      <c r="AL128" s="3">
        <v>2.7870967741935475</v>
      </c>
      <c r="AM128" s="3">
        <v>2.1354838709677417</v>
      </c>
      <c r="AN128" s="3">
        <v>0.8032258064516129</v>
      </c>
      <c r="AO128" s="3"/>
      <c r="AP128" s="3"/>
      <c r="AQ128" s="3">
        <v>67.983870967741936</v>
      </c>
      <c r="AR128" s="3">
        <v>69.32903225806453</v>
      </c>
      <c r="AS128" s="3">
        <v>72.051612903225816</v>
      </c>
      <c r="AT128" s="3">
        <v>78.629032258064498</v>
      </c>
      <c r="AU128" s="3"/>
      <c r="AV128" s="3"/>
      <c r="AW128">
        <v>8025.4591235030002</v>
      </c>
      <c r="AX128">
        <v>2.6967268560157902</v>
      </c>
      <c r="AY128" s="20">
        <v>43070</v>
      </c>
      <c r="AZ128">
        <v>5141.504281903166</v>
      </c>
      <c r="BA128" s="29">
        <v>-0.97</v>
      </c>
      <c r="BB128" s="22">
        <v>-0.34</v>
      </c>
      <c r="BC128" s="30">
        <v>0.3</v>
      </c>
      <c r="BD128">
        <v>28.16</v>
      </c>
      <c r="BE128">
        <v>26.12</v>
      </c>
      <c r="BF128">
        <v>25.5</v>
      </c>
      <c r="BG128">
        <v>1.4470000000000001</v>
      </c>
      <c r="BH128">
        <v>0.28000000000000003</v>
      </c>
      <c r="BI128">
        <v>-1.1200000000000001</v>
      </c>
      <c r="BJ128">
        <v>0.48</v>
      </c>
    </row>
    <row r="129" spans="1:62" ht="15" thickBot="1">
      <c r="A129" s="20">
        <v>42767</v>
      </c>
      <c r="B129" s="3">
        <v>7.2745535714285712</v>
      </c>
      <c r="C129" s="3">
        <v>6.3482142857142856</v>
      </c>
      <c r="D129" s="3">
        <v>5.3574404761904741</v>
      </c>
      <c r="E129" s="3">
        <v>4.2373511904761907</v>
      </c>
      <c r="H129" s="6">
        <f t="shared" si="4"/>
        <v>5153.1756568863693</v>
      </c>
      <c r="I129" s="6">
        <f t="shared" si="5"/>
        <v>5.2473191943824062</v>
      </c>
      <c r="J129" s="3">
        <v>6.3598214285714318</v>
      </c>
      <c r="K129" s="3">
        <v>4.9605654761904834</v>
      </c>
      <c r="L129" s="3">
        <v>4.2697916666666726</v>
      </c>
      <c r="M129" s="3">
        <v>2.7035714285714203</v>
      </c>
      <c r="P129" s="3">
        <v>93.772321428571416</v>
      </c>
      <c r="Q129" s="3">
        <v>91.502380952380946</v>
      </c>
      <c r="R129" s="3">
        <v>93.060714285714283</v>
      </c>
      <c r="S129" s="3">
        <v>90.266964285713968</v>
      </c>
      <c r="V129" s="3">
        <v>0.49726788998448102</v>
      </c>
      <c r="W129" s="3">
        <v>0.49726788998448102</v>
      </c>
      <c r="X129" s="3">
        <v>186.982589285714</v>
      </c>
      <c r="Y129" s="3">
        <v>98.7</v>
      </c>
      <c r="Z129" s="3">
        <v>7.1188988095237997</v>
      </c>
      <c r="AA129" s="3">
        <v>6.1568452380952303</v>
      </c>
      <c r="AB129" s="3"/>
      <c r="AC129" s="3">
        <v>3.75</v>
      </c>
      <c r="AD129" s="3">
        <v>3.625</v>
      </c>
      <c r="AE129" s="3">
        <v>2.6535714285714285</v>
      </c>
      <c r="AF129" s="3">
        <v>1.9464285714285714</v>
      </c>
      <c r="AG129" s="3"/>
      <c r="AH129" s="3"/>
      <c r="AI129" s="6">
        <f t="shared" si="8"/>
        <v>4786.3677534062881</v>
      </c>
      <c r="AJ129" s="6">
        <f t="shared" si="9"/>
        <v>4.1226760010051642</v>
      </c>
      <c r="AK129" s="3">
        <v>3.996428571428571</v>
      </c>
      <c r="AL129" s="3">
        <v>3.15</v>
      </c>
      <c r="AM129" s="3">
        <v>2.4321428571428569</v>
      </c>
      <c r="AN129" s="3">
        <v>0.91785714285714304</v>
      </c>
      <c r="AO129" s="3"/>
      <c r="AP129" s="3"/>
      <c r="AQ129" s="3">
        <v>70.103571428571428</v>
      </c>
      <c r="AR129" s="3">
        <v>70.242857142857147</v>
      </c>
      <c r="AS129" s="3">
        <v>72.821428571428569</v>
      </c>
      <c r="AT129" s="3">
        <v>77.603571428571414</v>
      </c>
      <c r="AU129" s="3"/>
      <c r="AV129" s="3"/>
      <c r="AW129">
        <v>7435.0294104410004</v>
      </c>
      <c r="AX129">
        <v>2.7660079651938201</v>
      </c>
      <c r="AY129" s="20">
        <v>43101</v>
      </c>
      <c r="AZ129">
        <v>5010.5904005255261</v>
      </c>
      <c r="BA129" s="29">
        <v>-0.92</v>
      </c>
      <c r="BB129" s="22">
        <v>-0.16</v>
      </c>
      <c r="BC129" s="30">
        <v>-0.1</v>
      </c>
      <c r="BD129">
        <v>28.11</v>
      </c>
      <c r="BE129">
        <v>26.67</v>
      </c>
      <c r="BF129">
        <v>27.46</v>
      </c>
      <c r="BG129">
        <v>1.4650000000000001</v>
      </c>
      <c r="BH129">
        <v>0.18</v>
      </c>
      <c r="BI129">
        <v>-1.0900000000000001</v>
      </c>
      <c r="BJ129">
        <v>1</v>
      </c>
    </row>
    <row r="130" spans="1:62" ht="15" thickBot="1">
      <c r="A130" s="20">
        <v>42795</v>
      </c>
      <c r="B130" s="3">
        <v>7.645833333333333</v>
      </c>
      <c r="C130" s="3">
        <v>6.56989247311828</v>
      </c>
      <c r="D130" s="3">
        <v>5.4533602150537615</v>
      </c>
      <c r="E130" s="3">
        <v>4.138440860215054</v>
      </c>
      <c r="H130" s="6">
        <f t="shared" si="4"/>
        <v>5032.2636027826229</v>
      </c>
      <c r="I130" s="6">
        <f t="shared" si="5"/>
        <v>6.0509944831301095</v>
      </c>
      <c r="J130" s="3">
        <v>6.7272849462365647</v>
      </c>
      <c r="K130" s="3">
        <v>5.1977150537634325</v>
      </c>
      <c r="L130" s="3">
        <v>4.5259408602150399</v>
      </c>
      <c r="M130" s="3">
        <v>2.9009408602150493</v>
      </c>
      <c r="P130" s="3">
        <v>93.77862903225811</v>
      </c>
      <c r="Q130" s="3">
        <v>91.573252688172005</v>
      </c>
      <c r="R130" s="3">
        <v>93.821774193548421</v>
      </c>
      <c r="S130" s="3">
        <v>91.808602150537538</v>
      </c>
      <c r="V130" s="3">
        <v>0.392807631489342</v>
      </c>
      <c r="W130" s="3">
        <v>0.392807631489342</v>
      </c>
      <c r="X130" s="3">
        <v>197.08629032258</v>
      </c>
      <c r="Y130" s="3">
        <v>135.1</v>
      </c>
      <c r="Z130" s="3">
        <v>7.5114247311827897</v>
      </c>
      <c r="AA130" s="3">
        <v>6.6057795698924702</v>
      </c>
      <c r="AB130" s="3"/>
      <c r="AC130" s="3">
        <v>4.0161290322580649</v>
      </c>
      <c r="AD130" s="3">
        <v>3.532258064516129</v>
      </c>
      <c r="AE130" s="3">
        <v>2.7612903225806456</v>
      </c>
      <c r="AF130" s="3">
        <v>1.8548387096774193</v>
      </c>
      <c r="AG130" s="3"/>
      <c r="AH130" s="3"/>
      <c r="AI130" s="6">
        <f t="shared" si="8"/>
        <v>4793.1579258122129</v>
      </c>
      <c r="AJ130" s="6">
        <f t="shared" si="9"/>
        <v>4.1742956860043492</v>
      </c>
      <c r="AK130" s="3">
        <v>4.219354838709676</v>
      </c>
      <c r="AL130" s="3">
        <v>3.3483870967741924</v>
      </c>
      <c r="AM130" s="3">
        <v>2.5419354838709682</v>
      </c>
      <c r="AN130" s="3">
        <v>1.0419354838709676</v>
      </c>
      <c r="AO130" s="3"/>
      <c r="AP130" s="3"/>
      <c r="AQ130" s="3">
        <v>69.319354838709685</v>
      </c>
      <c r="AR130" s="3">
        <v>68.851612903225799</v>
      </c>
      <c r="AS130" s="3">
        <v>74.135483870967732</v>
      </c>
      <c r="AT130" s="3">
        <v>81.693548387096769</v>
      </c>
      <c r="AU130" s="3"/>
      <c r="AV130" s="3"/>
      <c r="AW130">
        <v>12047.322767449999</v>
      </c>
      <c r="AX130">
        <v>4.0481595320732504</v>
      </c>
      <c r="AY130" s="20">
        <v>43132</v>
      </c>
      <c r="AZ130">
        <v>5206.0750713454363</v>
      </c>
      <c r="BA130" s="29">
        <v>-0.85</v>
      </c>
      <c r="BB130" s="22">
        <v>0.05</v>
      </c>
      <c r="BC130" s="30">
        <v>1.5</v>
      </c>
      <c r="BD130">
        <v>28.29</v>
      </c>
      <c r="BE130">
        <v>27.32</v>
      </c>
      <c r="BF130">
        <v>28.1</v>
      </c>
      <c r="BG130">
        <v>1.268</v>
      </c>
      <c r="BH130">
        <v>0.27</v>
      </c>
      <c r="BI130">
        <v>-1.56</v>
      </c>
      <c r="BJ130">
        <v>0.74</v>
      </c>
    </row>
    <row r="131" spans="1:62" ht="15" thickBot="1">
      <c r="A131" s="20">
        <v>42826</v>
      </c>
      <c r="B131" s="3">
        <v>8.2097222222222221</v>
      </c>
      <c r="C131" s="3">
        <v>7.322222222222222</v>
      </c>
      <c r="D131" s="3">
        <v>5.9123611111111085</v>
      </c>
      <c r="E131" s="3">
        <v>4.8430555555555559</v>
      </c>
      <c r="H131" s="6">
        <f t="shared" si="4"/>
        <v>5102.8661276268977</v>
      </c>
      <c r="I131" s="6">
        <f t="shared" si="5"/>
        <v>6.0957711545502331</v>
      </c>
      <c r="J131" s="3">
        <v>6.247638888888889</v>
      </c>
      <c r="K131" s="3">
        <v>4.6438888888888892</v>
      </c>
      <c r="L131" s="3">
        <v>4.0780555555555518</v>
      </c>
      <c r="M131" s="3">
        <v>2.8000000000000047</v>
      </c>
      <c r="P131" s="3">
        <v>88.944583333333441</v>
      </c>
      <c r="Q131" s="3">
        <v>84.508194444444428</v>
      </c>
      <c r="R131" s="3">
        <v>88.936388888888843</v>
      </c>
      <c r="S131" s="3">
        <v>87.079305555555479</v>
      </c>
      <c r="V131" s="3">
        <v>5.82579456583227E-2</v>
      </c>
      <c r="W131" s="3">
        <v>5.82579456583227E-2</v>
      </c>
      <c r="X131" s="3">
        <v>210.71361111111099</v>
      </c>
      <c r="Y131" s="3">
        <v>59.3</v>
      </c>
      <c r="Z131" s="3">
        <v>8.0945833333333308</v>
      </c>
      <c r="AA131" s="3">
        <v>6.1809722222222199</v>
      </c>
      <c r="AB131" s="3"/>
      <c r="AC131" s="3">
        <v>3.6833333333333331</v>
      </c>
      <c r="AD131" s="3">
        <v>4.416666666666667</v>
      </c>
      <c r="AE131" s="3">
        <v>3.0833333333333335</v>
      </c>
      <c r="AF131" s="3">
        <v>2.7</v>
      </c>
      <c r="AG131" s="3"/>
      <c r="AH131" s="3"/>
      <c r="AI131" s="6">
        <f t="shared" si="8"/>
        <v>4840.9709202873755</v>
      </c>
      <c r="AJ131" s="6">
        <f t="shared" si="9"/>
        <v>4.1236198168289437</v>
      </c>
      <c r="AK131" s="3">
        <v>3.5366666666666662</v>
      </c>
      <c r="AL131" s="3">
        <v>2.9999999999999996</v>
      </c>
      <c r="AM131" s="3">
        <v>2.38</v>
      </c>
      <c r="AN131" s="3">
        <v>1.2866666666666668</v>
      </c>
      <c r="AO131" s="3"/>
      <c r="AP131" s="3"/>
      <c r="AQ131" s="3">
        <v>61.236666666666672</v>
      </c>
      <c r="AR131" s="3">
        <v>62.403333333333336</v>
      </c>
      <c r="AS131" s="3">
        <v>67.073333333333338</v>
      </c>
      <c r="AT131" s="3">
        <v>74.593333333333348</v>
      </c>
      <c r="AU131" s="3"/>
      <c r="AV131" s="3"/>
      <c r="AW131">
        <v>9142.1711261319997</v>
      </c>
      <c r="AX131">
        <v>3.17436497435139</v>
      </c>
      <c r="AY131" s="20">
        <v>43160</v>
      </c>
      <c r="AZ131">
        <v>5070.9885410420302</v>
      </c>
      <c r="BA131" s="29">
        <v>-0.7</v>
      </c>
      <c r="BB131" s="22">
        <v>0.2</v>
      </c>
      <c r="BC131" s="30">
        <v>-0.3</v>
      </c>
      <c r="BD131">
        <v>28.69</v>
      </c>
      <c r="BE131">
        <v>28.03</v>
      </c>
      <c r="BF131">
        <v>26.59</v>
      </c>
      <c r="BG131">
        <v>0.59199999999999997</v>
      </c>
      <c r="BH131">
        <v>0.4</v>
      </c>
      <c r="BI131">
        <v>1.65</v>
      </c>
      <c r="BJ131">
        <v>1.73</v>
      </c>
    </row>
    <row r="132" spans="1:62" ht="15" thickBot="1">
      <c r="A132" s="20">
        <v>42856</v>
      </c>
      <c r="B132" s="3">
        <v>7.920698924731183</v>
      </c>
      <c r="C132" s="3">
        <v>7.424731182795699</v>
      </c>
      <c r="D132" s="3">
        <v>6.017069892473117</v>
      </c>
      <c r="E132" s="3">
        <v>4.946908602150538</v>
      </c>
      <c r="H132" s="6">
        <f t="shared" ref="H132:H195" si="10">INTERCEPT($C$2:$F$2,C132:F132)</f>
        <v>5120.0600384384979</v>
      </c>
      <c r="I132" s="6">
        <f t="shared" ref="I132:I195" si="11">-SLOPE(C132:F132,$C$2:$F$2)*1000</f>
        <v>6.0928575196223305</v>
      </c>
      <c r="J132" s="3">
        <v>5.7131720430107471</v>
      </c>
      <c r="K132" s="3">
        <v>4.1884408602150582</v>
      </c>
      <c r="L132" s="3">
        <v>3.6237903225806445</v>
      </c>
      <c r="M132" s="3">
        <v>2.4259408602150563</v>
      </c>
      <c r="P132" s="3">
        <v>87.456048387096715</v>
      </c>
      <c r="Q132" s="3">
        <v>81.56599462365584</v>
      </c>
      <c r="R132" s="3">
        <v>85.781989247311856</v>
      </c>
      <c r="S132" s="3">
        <v>84.215188172043057</v>
      </c>
      <c r="V132" s="3">
        <v>0.17737210208231799</v>
      </c>
      <c r="W132" s="3">
        <v>0.17737210208231799</v>
      </c>
      <c r="X132" s="3">
        <v>169.89354838709599</v>
      </c>
      <c r="Y132" s="3">
        <v>29</v>
      </c>
      <c r="Z132" s="3">
        <v>7.8428763440860196</v>
      </c>
      <c r="AA132" s="3">
        <v>5.7341397849462297</v>
      </c>
      <c r="AB132" s="3"/>
      <c r="AC132" s="3">
        <v>3.0483870967741935</v>
      </c>
      <c r="AD132" s="3">
        <v>4.274193548387097</v>
      </c>
      <c r="AE132" s="3">
        <v>2.7419354838709675</v>
      </c>
      <c r="AF132" s="3">
        <v>2.532258064516129</v>
      </c>
      <c r="AG132" s="3"/>
      <c r="AH132" s="3"/>
      <c r="AI132" s="6">
        <f t="shared" si="8"/>
        <v>4731.4588167609545</v>
      </c>
      <c r="AJ132" s="6">
        <f t="shared" si="9"/>
        <v>4.1354546202886224</v>
      </c>
      <c r="AK132" s="3">
        <v>2.9419354838709668</v>
      </c>
      <c r="AL132" s="3">
        <v>2.2483870967741937</v>
      </c>
      <c r="AM132" s="3">
        <v>1.6483870967741934</v>
      </c>
      <c r="AN132" s="3">
        <v>0.63225806451612898</v>
      </c>
      <c r="AO132" s="3"/>
      <c r="AP132" s="3"/>
      <c r="AQ132" s="3">
        <v>62.058064516129022</v>
      </c>
      <c r="AR132" s="3">
        <v>58.022580645161298</v>
      </c>
      <c r="AS132" s="3">
        <v>62.345161290322586</v>
      </c>
      <c r="AT132" s="3">
        <v>70.635483870967732</v>
      </c>
      <c r="AU132" s="3"/>
      <c r="AV132" s="3"/>
      <c r="AW132">
        <v>6190.6189385830003</v>
      </c>
      <c r="AX132">
        <v>2.0801810949539701</v>
      </c>
      <c r="AY132" s="20">
        <v>43191</v>
      </c>
      <c r="AZ132">
        <v>4962.6919114678885</v>
      </c>
      <c r="BA132" s="22">
        <v>-0.5</v>
      </c>
      <c r="BB132" s="22">
        <v>0.3</v>
      </c>
      <c r="BC132" s="30">
        <v>0.4</v>
      </c>
      <c r="BD132">
        <v>29.1</v>
      </c>
      <c r="BE132">
        <v>28.3</v>
      </c>
      <c r="BF132">
        <v>24.63</v>
      </c>
      <c r="BG132">
        <v>-0.26700000000000002</v>
      </c>
      <c r="BH132">
        <v>-0.31</v>
      </c>
      <c r="BI132">
        <v>1.82</v>
      </c>
      <c r="BJ132">
        <v>-1.91</v>
      </c>
    </row>
    <row r="133" spans="1:62" ht="15" thickBot="1">
      <c r="A133" s="20">
        <v>42887</v>
      </c>
      <c r="B133" s="3">
        <v>7.1805555555555554</v>
      </c>
      <c r="C133" s="3">
        <v>7.5965277777777782</v>
      </c>
      <c r="D133" s="3">
        <v>5.6484722222222175</v>
      </c>
      <c r="E133" s="3">
        <v>5.0377906976744189</v>
      </c>
      <c r="H133" s="6">
        <f t="shared" si="10"/>
        <v>4992.0840881866006</v>
      </c>
      <c r="I133" s="6">
        <f t="shared" si="11"/>
        <v>6.1570782855534336</v>
      </c>
      <c r="J133" s="3">
        <v>2.6127777777777812</v>
      </c>
      <c r="K133" s="3">
        <v>1.2138888888888877</v>
      </c>
      <c r="L133" s="3">
        <v>0.77750000000000141</v>
      </c>
      <c r="M133" s="3">
        <v>0.21933139534883775</v>
      </c>
      <c r="P133" s="3">
        <v>76.32374999999989</v>
      </c>
      <c r="Q133" s="3">
        <v>66.358333333333249</v>
      </c>
      <c r="R133" s="3">
        <v>73.296111111111088</v>
      </c>
      <c r="S133" s="3">
        <v>72.446511627907014</v>
      </c>
      <c r="V133" s="3">
        <v>9.0217317350455503E-2</v>
      </c>
      <c r="W133" s="3">
        <v>9.0217317350455503E-2</v>
      </c>
      <c r="X133" s="3">
        <v>197.17783417935701</v>
      </c>
      <c r="Y133" s="3">
        <v>0.8</v>
      </c>
      <c r="Z133" s="3">
        <v>7.3426395939086202</v>
      </c>
      <c r="AA133" s="3">
        <v>2.8416243654822302</v>
      </c>
      <c r="AB133" s="3"/>
      <c r="AC133" s="3">
        <v>1.0666666666666667</v>
      </c>
      <c r="AD133" s="3">
        <v>3.75</v>
      </c>
      <c r="AE133" s="3">
        <v>1.4333333333333333</v>
      </c>
      <c r="AF133" s="3">
        <v>2.1</v>
      </c>
      <c r="AG133" s="3"/>
      <c r="AH133" s="3"/>
      <c r="AI133" s="6">
        <f t="shared" si="8"/>
        <v>4397.6341058524831</v>
      </c>
      <c r="AJ133" s="6">
        <f t="shared" si="9"/>
        <v>3.6813831148989586</v>
      </c>
      <c r="AK133" s="3">
        <v>-4.666666666666671E-2</v>
      </c>
      <c r="AL133" s="3">
        <v>-1.0499999999999998</v>
      </c>
      <c r="AM133" s="3">
        <v>-1.466666666666667</v>
      </c>
      <c r="AN133" s="3">
        <v>-1.9933333333333334</v>
      </c>
      <c r="AO133" s="3"/>
      <c r="AP133" s="3"/>
      <c r="AQ133" s="3">
        <v>44.31666666666667</v>
      </c>
      <c r="AR133" s="3">
        <v>44.086666666666666</v>
      </c>
      <c r="AS133" s="3">
        <v>48.403333333333343</v>
      </c>
      <c r="AT133" s="3">
        <v>57.896666666666668</v>
      </c>
      <c r="AU133" s="3"/>
      <c r="AV133" s="3"/>
      <c r="AW133">
        <v>4310.6800289760004</v>
      </c>
      <c r="AX133">
        <v>1.61994739908906</v>
      </c>
      <c r="AY133" s="20">
        <v>43221</v>
      </c>
      <c r="AZ133">
        <v>5021.8312462935719</v>
      </c>
      <c r="BA133" s="22">
        <v>-0.22</v>
      </c>
      <c r="BB133" s="22">
        <v>0.31</v>
      </c>
      <c r="BC133" s="30">
        <v>-0.7</v>
      </c>
      <c r="BD133">
        <v>29.29</v>
      </c>
      <c r="BE133">
        <v>28.06</v>
      </c>
      <c r="BF133">
        <v>22.89</v>
      </c>
      <c r="BG133">
        <v>-1.1499999999999999</v>
      </c>
      <c r="BH133">
        <v>1.01</v>
      </c>
      <c r="BI133">
        <v>1.98</v>
      </c>
      <c r="BJ133">
        <v>0.05</v>
      </c>
    </row>
    <row r="134" spans="1:62" ht="15" thickBot="1">
      <c r="A134" s="20">
        <v>42917</v>
      </c>
      <c r="B134" s="3">
        <v>7.970430107526882</v>
      </c>
      <c r="C134" s="3">
        <v>7.844086021505376</v>
      </c>
      <c r="D134" s="3">
        <v>5.6822580645161267</v>
      </c>
      <c r="E134" s="3">
        <v>4.842741935483871</v>
      </c>
      <c r="H134" s="6">
        <f t="shared" si="10"/>
        <v>4891.8756226199821</v>
      </c>
      <c r="I134" s="6">
        <f t="shared" si="11"/>
        <v>7.2556968894380267</v>
      </c>
      <c r="J134" s="3">
        <v>-0.73481182795698996</v>
      </c>
      <c r="K134" s="3">
        <v>-2.2576612903225799</v>
      </c>
      <c r="L134" s="3">
        <v>-2.4508064516129018</v>
      </c>
      <c r="M134" s="3">
        <v>-2.6817204301075268</v>
      </c>
      <c r="P134" s="3">
        <v>58.810215053763329</v>
      </c>
      <c r="Q134" s="3">
        <v>51.96505376344075</v>
      </c>
      <c r="R134" s="3">
        <v>59.368279569892465</v>
      </c>
      <c r="S134" s="3">
        <v>60.792338709677274</v>
      </c>
      <c r="V134" s="3"/>
      <c r="W134" s="3"/>
      <c r="X134" s="3"/>
      <c r="Y134" s="3"/>
      <c r="Z134" s="3"/>
      <c r="AA134" s="3"/>
      <c r="AB134" s="3"/>
      <c r="AC134" s="3">
        <v>1.1451612903225807</v>
      </c>
      <c r="AD134" s="3">
        <v>3.6451612903225805</v>
      </c>
      <c r="AE134" s="3">
        <v>1.1774193548387097</v>
      </c>
      <c r="AF134" s="3">
        <v>1.5</v>
      </c>
      <c r="AG134" s="3"/>
      <c r="AH134" s="3"/>
      <c r="AI134" s="6">
        <f t="shared" si="8"/>
        <v>4377.2937490963423</v>
      </c>
      <c r="AJ134" s="6">
        <f t="shared" si="9"/>
        <v>4.9344537036075042</v>
      </c>
      <c r="AK134" s="3">
        <v>-3.5645161290322576</v>
      </c>
      <c r="AL134" s="3">
        <v>-5.2935483870967746</v>
      </c>
      <c r="AM134" s="3">
        <v>-5.2387096774193544</v>
      </c>
      <c r="AN134" s="3">
        <v>-5.4483870967741916</v>
      </c>
      <c r="AO134" s="3"/>
      <c r="AP134" s="3"/>
      <c r="AQ134" s="3">
        <v>31.261290322580646</v>
      </c>
      <c r="AR134" s="3">
        <v>32.312903225806458</v>
      </c>
      <c r="AS134" s="3">
        <v>35.609677419354831</v>
      </c>
      <c r="AT134" s="3">
        <v>43.40967741935485</v>
      </c>
      <c r="AU134" s="3"/>
      <c r="AV134" s="3"/>
      <c r="AW134">
        <v>2292.255834045</v>
      </c>
      <c r="AX134">
        <v>1.5404945121270199</v>
      </c>
      <c r="AY134" s="20">
        <v>43252</v>
      </c>
      <c r="AZ134">
        <v>4819.3692321801072</v>
      </c>
      <c r="BA134" s="22">
        <v>-0.01</v>
      </c>
      <c r="BB134" s="22">
        <v>0.14000000000000001</v>
      </c>
      <c r="BC134" s="30">
        <v>1.3</v>
      </c>
      <c r="BD134">
        <v>29.16</v>
      </c>
      <c r="BE134">
        <v>27.54</v>
      </c>
      <c r="BF134">
        <v>21.64</v>
      </c>
      <c r="BG134">
        <v>-1.575</v>
      </c>
      <c r="BH134">
        <v>1.86</v>
      </c>
      <c r="BI134">
        <v>0.16</v>
      </c>
      <c r="BJ134">
        <v>1.26</v>
      </c>
    </row>
    <row r="135" spans="1:62" ht="15" thickBot="1">
      <c r="A135" s="20">
        <v>42948</v>
      </c>
      <c r="B135" s="3">
        <v>7.268817204301075</v>
      </c>
      <c r="C135" s="3">
        <v>7.799731182795699</v>
      </c>
      <c r="D135" s="3">
        <v>5.8291666666666622</v>
      </c>
      <c r="E135" s="3">
        <v>5.1821236559139781</v>
      </c>
      <c r="H135" s="6">
        <f t="shared" si="10"/>
        <v>5002.3829002366838</v>
      </c>
      <c r="I135" s="6">
        <f t="shared" si="11"/>
        <v>6.3048183833858271</v>
      </c>
      <c r="J135" s="3">
        <v>0.20282258064516068</v>
      </c>
      <c r="K135" s="3">
        <v>-1.2967741935483887</v>
      </c>
      <c r="L135" s="3">
        <v>-1.5966397849462388</v>
      </c>
      <c r="M135" s="3">
        <v>-1.7829301075268802</v>
      </c>
      <c r="P135" s="3">
        <v>66.237499999999983</v>
      </c>
      <c r="Q135" s="3">
        <v>56.103763440860213</v>
      </c>
      <c r="R135" s="3">
        <v>62.581720430107502</v>
      </c>
      <c r="S135" s="3">
        <v>63.361962365591424</v>
      </c>
      <c r="V135" s="3"/>
      <c r="W135" s="3"/>
      <c r="X135" s="3"/>
      <c r="Y135" s="3"/>
      <c r="Z135" s="3"/>
      <c r="AA135" s="3"/>
      <c r="AB135" s="3"/>
      <c r="AC135" s="3">
        <v>-9.6774193548387094E-2</v>
      </c>
      <c r="AD135" s="3">
        <v>3.2580645161290325</v>
      </c>
      <c r="AE135" s="3">
        <v>0.9419354838709677</v>
      </c>
      <c r="AF135" s="3">
        <v>1.6774193548387097</v>
      </c>
      <c r="AG135" s="3"/>
      <c r="AH135" s="3"/>
      <c r="AI135" s="6">
        <f t="shared" si="8"/>
        <v>4341.6160067755645</v>
      </c>
      <c r="AJ135" s="6">
        <f t="shared" si="9"/>
        <v>3.500251348048717</v>
      </c>
      <c r="AK135" s="3">
        <v>-2.3032258064516125</v>
      </c>
      <c r="AL135" s="3">
        <v>-4.0064516129032253</v>
      </c>
      <c r="AM135" s="3">
        <v>-4.1967741935483867</v>
      </c>
      <c r="AN135" s="3">
        <v>-4.5258064516129028</v>
      </c>
      <c r="AO135" s="3"/>
      <c r="AP135" s="3"/>
      <c r="AQ135" s="3">
        <v>31.954838709677425</v>
      </c>
      <c r="AR135" s="3">
        <v>33.716129032258074</v>
      </c>
      <c r="AS135" s="3">
        <v>36.612903225806448</v>
      </c>
      <c r="AT135" s="3">
        <v>44.490322580645163</v>
      </c>
      <c r="AU135" s="3"/>
      <c r="AV135" s="3"/>
      <c r="AW135">
        <v>2407.176716686</v>
      </c>
      <c r="AX135">
        <v>1.61772628809543</v>
      </c>
      <c r="AY135" s="20">
        <v>43282</v>
      </c>
      <c r="AZ135">
        <v>4910.1402977498401</v>
      </c>
      <c r="BA135" s="22">
        <v>0.09</v>
      </c>
      <c r="BB135" s="22">
        <v>-0.11</v>
      </c>
      <c r="BC135" s="30">
        <v>0.9</v>
      </c>
      <c r="BD135">
        <v>28.87</v>
      </c>
      <c r="BE135">
        <v>26.7</v>
      </c>
      <c r="BF135">
        <v>20.67</v>
      </c>
      <c r="BG135">
        <v>-1.925</v>
      </c>
      <c r="BH135">
        <v>0.23</v>
      </c>
      <c r="BI135">
        <v>0.31</v>
      </c>
      <c r="BJ135">
        <v>-1.1000000000000001</v>
      </c>
    </row>
    <row r="136" spans="1:62" ht="15" thickBot="1">
      <c r="A136" s="20">
        <v>42979</v>
      </c>
      <c r="B136" s="3">
        <v>8.8326388888888889</v>
      </c>
      <c r="C136" s="3">
        <v>7.8881944444444443</v>
      </c>
      <c r="D136" s="3">
        <v>6.2287499999999936</v>
      </c>
      <c r="E136" s="3">
        <v>5.0875000000000004</v>
      </c>
      <c r="H136" s="6">
        <f t="shared" si="10"/>
        <v>5038.7564337590375</v>
      </c>
      <c r="I136" s="6">
        <f t="shared" si="11"/>
        <v>6.8681558605653672</v>
      </c>
      <c r="J136" s="3">
        <v>2.9293055555555574</v>
      </c>
      <c r="K136" s="3">
        <v>1.7102777777777796</v>
      </c>
      <c r="L136" s="3">
        <v>1.38625</v>
      </c>
      <c r="M136" s="3">
        <v>0.82166666666666766</v>
      </c>
      <c r="P136" s="3">
        <v>70.717222222222162</v>
      </c>
      <c r="Q136" s="3">
        <v>67.813888888888854</v>
      </c>
      <c r="R136" s="3">
        <v>73.602083333333312</v>
      </c>
      <c r="S136" s="3">
        <v>75.423750000000013</v>
      </c>
      <c r="V136" s="3">
        <v>0.39836243554058198</v>
      </c>
      <c r="W136" s="3">
        <v>0.39836243554058198</v>
      </c>
      <c r="X136" s="3">
        <v>229.460833333333</v>
      </c>
      <c r="Y136" s="3">
        <v>37.6</v>
      </c>
      <c r="Z136" s="3">
        <v>8.6348611111111104</v>
      </c>
      <c r="AA136" s="3">
        <v>2.4872222222222198</v>
      </c>
      <c r="AB136" s="3"/>
      <c r="AC136" s="3">
        <v>2.65</v>
      </c>
      <c r="AD136" s="3">
        <v>4.3</v>
      </c>
      <c r="AE136" s="3">
        <v>2.5499999999999998</v>
      </c>
      <c r="AF136" s="3">
        <v>2.2000000000000002</v>
      </c>
      <c r="AG136" s="3"/>
      <c r="AH136" s="3"/>
      <c r="AI136" s="6">
        <f t="shared" si="8"/>
        <v>4626.1105990783408</v>
      </c>
      <c r="AJ136" s="6">
        <f t="shared" si="9"/>
        <v>5.0120159552064996</v>
      </c>
      <c r="AK136" s="3">
        <v>0.77333333333333343</v>
      </c>
      <c r="AL136" s="3">
        <v>0.1833333333333334</v>
      </c>
      <c r="AM136" s="3">
        <v>-0.20000000000000009</v>
      </c>
      <c r="AN136" s="3">
        <v>-0.81333333333333324</v>
      </c>
      <c r="AO136" s="3"/>
      <c r="AP136" s="3"/>
      <c r="AQ136" s="3">
        <v>39.340000000000011</v>
      </c>
      <c r="AR136" s="3">
        <v>44.85</v>
      </c>
      <c r="AS136" s="3">
        <v>49.366666666666674</v>
      </c>
      <c r="AT136" s="3">
        <v>58.62</v>
      </c>
      <c r="AU136" s="3"/>
      <c r="AV136" s="3"/>
      <c r="AW136">
        <v>1850.2073929600001</v>
      </c>
      <c r="AX136">
        <v>1.2848662451111099</v>
      </c>
      <c r="AY136" s="20">
        <v>43313</v>
      </c>
      <c r="AZ136">
        <v>4962.7426938877006</v>
      </c>
      <c r="BA136" s="22">
        <v>0.23</v>
      </c>
      <c r="BB136" s="22">
        <v>-0.38</v>
      </c>
      <c r="BC136" s="30">
        <v>1</v>
      </c>
      <c r="BD136">
        <v>28.72</v>
      </c>
      <c r="BE136">
        <v>26.29</v>
      </c>
      <c r="BF136">
        <v>19.920000000000002</v>
      </c>
      <c r="BG136">
        <v>-1.847</v>
      </c>
      <c r="BH136">
        <v>-0.33</v>
      </c>
      <c r="BI136">
        <v>0.42</v>
      </c>
      <c r="BJ136">
        <v>-0.61</v>
      </c>
    </row>
    <row r="137" spans="1:62" ht="15" thickBot="1">
      <c r="A137" s="20">
        <v>43009</v>
      </c>
      <c r="B137" s="3">
        <v>8.551075268817204</v>
      </c>
      <c r="C137" s="3">
        <v>7.830645161290323</v>
      </c>
      <c r="D137" s="3">
        <v>6.2412634408602115</v>
      </c>
      <c r="E137" s="3">
        <v>5.262096774193548</v>
      </c>
      <c r="H137" s="6">
        <f t="shared" si="10"/>
        <v>5116.2233518209605</v>
      </c>
      <c r="I137" s="6">
        <f t="shared" si="11"/>
        <v>6.2804711224135596</v>
      </c>
      <c r="J137" s="3">
        <v>4.2301075268817199</v>
      </c>
      <c r="K137" s="3">
        <v>2.9918010752688149</v>
      </c>
      <c r="L137" s="3">
        <v>2.5056451612903219</v>
      </c>
      <c r="M137" s="3">
        <v>1.6063172043010792</v>
      </c>
      <c r="P137" s="3">
        <v>78.082392473118261</v>
      </c>
      <c r="Q137" s="3">
        <v>74.2685483870968</v>
      </c>
      <c r="R137" s="3">
        <v>79.378897849462319</v>
      </c>
      <c r="S137" s="3">
        <v>78.714516129032262</v>
      </c>
      <c r="V137" s="3">
        <v>0.103745005711842</v>
      </c>
      <c r="W137" s="3">
        <v>0.103745005711842</v>
      </c>
      <c r="X137" s="3">
        <v>245.095967741935</v>
      </c>
      <c r="Y137" s="3">
        <v>96.4</v>
      </c>
      <c r="Z137" s="3">
        <v>8.3313172043010706</v>
      </c>
      <c r="AA137" s="3">
        <v>3.93360215053763</v>
      </c>
      <c r="AB137" s="3"/>
      <c r="AC137" s="3">
        <v>2.693548387096774</v>
      </c>
      <c r="AD137" s="3">
        <v>3.8548387096774195</v>
      </c>
      <c r="AE137" s="3">
        <v>2.193548387096774</v>
      </c>
      <c r="AF137" s="3">
        <v>2.064516129032258</v>
      </c>
      <c r="AG137" s="3"/>
      <c r="AH137" s="3"/>
      <c r="AI137" s="6">
        <f t="shared" si="8"/>
        <v>4606.7713751413412</v>
      </c>
      <c r="AJ137" s="6">
        <f t="shared" si="9"/>
        <v>4.2267630926759026</v>
      </c>
      <c r="AK137" s="3">
        <v>1.7387096774193542</v>
      </c>
      <c r="AL137" s="3">
        <v>0.89032258064516134</v>
      </c>
      <c r="AM137" s="3">
        <v>0.54193548387096768</v>
      </c>
      <c r="AN137" s="3">
        <v>-0.42903225806451617</v>
      </c>
      <c r="AO137" s="3"/>
      <c r="AP137" s="3"/>
      <c r="AQ137" s="3">
        <v>45.041935483870972</v>
      </c>
      <c r="AR137" s="3">
        <v>47.445161290322581</v>
      </c>
      <c r="AS137" s="3">
        <v>51.303225806451607</v>
      </c>
      <c r="AT137" s="3">
        <v>58.980645161290319</v>
      </c>
      <c r="AU137" s="3"/>
      <c r="AV137" s="3"/>
      <c r="AW137">
        <v>2601.2254599859998</v>
      </c>
      <c r="AX137">
        <v>1.7481353897755401</v>
      </c>
      <c r="AY137" s="20">
        <v>43344</v>
      </c>
      <c r="AZ137">
        <v>5121.7644910125309</v>
      </c>
      <c r="BA137" s="22">
        <v>0.49</v>
      </c>
      <c r="BB137" s="29">
        <v>-0.65</v>
      </c>
      <c r="BC137" s="30">
        <v>1.5</v>
      </c>
      <c r="BD137">
        <v>28.56</v>
      </c>
      <c r="BE137">
        <v>26.15</v>
      </c>
      <c r="BF137">
        <v>20.21</v>
      </c>
      <c r="BG137">
        <v>-1.7350000000000001</v>
      </c>
      <c r="BH137">
        <v>-0.4</v>
      </c>
      <c r="BI137">
        <v>-0.64</v>
      </c>
      <c r="BJ137">
        <v>0.19</v>
      </c>
    </row>
    <row r="138" spans="1:62" ht="15" thickBot="1">
      <c r="A138" s="20">
        <v>43040</v>
      </c>
      <c r="B138" s="3">
        <v>7.5756944444444443</v>
      </c>
      <c r="C138" s="3">
        <v>7.3069444444444445</v>
      </c>
      <c r="D138" s="3">
        <v>5.7444444444444409</v>
      </c>
      <c r="E138" s="3">
        <v>5.0583333333333336</v>
      </c>
      <c r="H138" s="6">
        <f t="shared" si="10"/>
        <v>5144.1700632464908</v>
      </c>
      <c r="I138" s="6">
        <f t="shared" si="11"/>
        <v>5.4515514759116552</v>
      </c>
      <c r="J138" s="3">
        <v>3.1925000000000048</v>
      </c>
      <c r="K138" s="3">
        <v>2.4052777777777763</v>
      </c>
      <c r="L138" s="3">
        <v>2.007916666666667</v>
      </c>
      <c r="M138" s="3">
        <v>1.3279166666666671</v>
      </c>
      <c r="P138" s="3">
        <v>77.438611111111157</v>
      </c>
      <c r="Q138" s="3">
        <v>73.322777777777773</v>
      </c>
      <c r="R138" s="3">
        <v>79.057777777777687</v>
      </c>
      <c r="S138" s="3">
        <v>77.838749999999905</v>
      </c>
      <c r="V138" s="3">
        <v>0.35112028992870398</v>
      </c>
      <c r="W138" s="3">
        <v>0.35112028992870398</v>
      </c>
      <c r="X138" s="3">
        <v>207.64555555555501</v>
      </c>
      <c r="Y138" s="3">
        <v>63.8</v>
      </c>
      <c r="Z138" s="3">
        <v>7.4229166666666604</v>
      </c>
      <c r="AA138" s="3">
        <v>2.9194444444444398</v>
      </c>
      <c r="AB138" s="3"/>
      <c r="AC138" s="3">
        <v>1.8</v>
      </c>
      <c r="AD138" s="3">
        <v>3.4333333333333331</v>
      </c>
      <c r="AE138" s="3">
        <v>1.7</v>
      </c>
      <c r="AF138" s="3">
        <v>2.2166666666666668</v>
      </c>
      <c r="AG138" s="3"/>
      <c r="AH138" s="3"/>
      <c r="AI138" s="6">
        <f t="shared" si="8"/>
        <v>4482.1103121711676</v>
      </c>
      <c r="AJ138" s="6">
        <f t="shared" si="9"/>
        <v>2.7077191156917628</v>
      </c>
      <c r="AK138" s="3">
        <v>0.29666666666666675</v>
      </c>
      <c r="AL138" s="3">
        <v>0.19666666666666674</v>
      </c>
      <c r="AM138" s="3">
        <v>-0.25333333333333319</v>
      </c>
      <c r="AN138" s="3">
        <v>-0.95333333333333314</v>
      </c>
      <c r="AO138" s="3"/>
      <c r="AP138" s="3"/>
      <c r="AQ138" s="3">
        <v>45.476666666666667</v>
      </c>
      <c r="AR138" s="3">
        <v>49.663333333333327</v>
      </c>
      <c r="AS138" s="3">
        <v>52.93</v>
      </c>
      <c r="AT138" s="3">
        <v>62.333333333333343</v>
      </c>
      <c r="AU138" s="3"/>
      <c r="AV138" s="3"/>
      <c r="AW138">
        <v>2854.677378458</v>
      </c>
      <c r="AX138">
        <v>1.98241484615139</v>
      </c>
      <c r="AY138" s="20">
        <v>43374</v>
      </c>
      <c r="AZ138">
        <v>5130.8739926521921</v>
      </c>
      <c r="BA138" s="26">
        <v>0.76</v>
      </c>
      <c r="BB138" s="29">
        <v>-0.84</v>
      </c>
      <c r="BC138" s="30">
        <v>1.5</v>
      </c>
      <c r="BD138">
        <v>28.3</v>
      </c>
      <c r="BE138">
        <v>25.74</v>
      </c>
      <c r="BF138">
        <v>20.46</v>
      </c>
      <c r="BG138">
        <v>-1.548</v>
      </c>
      <c r="BH138">
        <v>-2.06</v>
      </c>
      <c r="BI138">
        <v>3.18</v>
      </c>
      <c r="BJ138">
        <v>0</v>
      </c>
    </row>
    <row r="139" spans="1:62" ht="15" thickBot="1">
      <c r="A139" s="20">
        <v>43070</v>
      </c>
      <c r="B139" s="3">
        <v>7.4858870967741939</v>
      </c>
      <c r="C139" s="3">
        <v>6.713709677419355</v>
      </c>
      <c r="D139" s="3">
        <v>5.526344086021501</v>
      </c>
      <c r="E139" s="3">
        <v>4.489247311827957</v>
      </c>
      <c r="H139" s="6">
        <f t="shared" si="10"/>
        <v>5141.504281903166</v>
      </c>
      <c r="I139" s="6">
        <f t="shared" si="11"/>
        <v>5.4906661562449788</v>
      </c>
      <c r="J139" s="3">
        <v>5.6573924731182803</v>
      </c>
      <c r="K139" s="3">
        <v>4.4276881720430143</v>
      </c>
      <c r="L139" s="3">
        <v>3.800268817204298</v>
      </c>
      <c r="M139" s="3">
        <v>2.4739247311827923</v>
      </c>
      <c r="P139" s="3">
        <v>89.701881720430109</v>
      </c>
      <c r="Q139" s="3">
        <v>86.660349462365588</v>
      </c>
      <c r="R139" s="3">
        <v>89.60564516129017</v>
      </c>
      <c r="S139" s="3">
        <v>87.222311827956986</v>
      </c>
      <c r="V139" s="3">
        <v>0.29133758535223298</v>
      </c>
      <c r="W139" s="3">
        <v>0.29133758535223298</v>
      </c>
      <c r="X139" s="3">
        <v>183.979032258064</v>
      </c>
      <c r="Y139" s="3">
        <v>126.6</v>
      </c>
      <c r="Z139" s="3">
        <v>7.2735215053763396</v>
      </c>
      <c r="AA139" s="3">
        <v>5.5325268817204298</v>
      </c>
      <c r="AB139" s="3"/>
      <c r="AC139" s="3">
        <v>3.2419354838709675</v>
      </c>
      <c r="AD139" s="3">
        <v>3.7419354838709675</v>
      </c>
      <c r="AE139" s="3">
        <v>2.4096774193548387</v>
      </c>
      <c r="AF139" s="3">
        <v>2</v>
      </c>
      <c r="AG139" s="3"/>
      <c r="AH139" s="3"/>
      <c r="AI139" s="6">
        <f t="shared" si="8"/>
        <v>4697.9769307001079</v>
      </c>
      <c r="AJ139" s="6">
        <f t="shared" si="9"/>
        <v>4.1899599841119253</v>
      </c>
      <c r="AK139" s="3">
        <v>3.0580645161290327</v>
      </c>
      <c r="AL139" s="3">
        <v>2.5677419354838715</v>
      </c>
      <c r="AM139" s="3">
        <v>1.8096774193548391</v>
      </c>
      <c r="AN139" s="3">
        <v>0.63225806451612909</v>
      </c>
      <c r="AO139" s="3"/>
      <c r="AP139" s="3"/>
      <c r="AQ139" s="3">
        <v>62.706451612903223</v>
      </c>
      <c r="AR139" s="3">
        <v>63.535483870967752</v>
      </c>
      <c r="AS139" s="3">
        <v>65.983870967741936</v>
      </c>
      <c r="AT139" s="3">
        <v>73.593548387096774</v>
      </c>
      <c r="AU139" s="3"/>
      <c r="AV139" s="3"/>
      <c r="AW139">
        <v>3629.9574505740002</v>
      </c>
      <c r="AX139">
        <v>2.4394875339878999</v>
      </c>
      <c r="AY139" s="20">
        <v>43405</v>
      </c>
      <c r="AZ139">
        <v>5295.10153128812</v>
      </c>
      <c r="BA139" s="26">
        <v>0.9</v>
      </c>
      <c r="BB139" s="29">
        <v>-0.97</v>
      </c>
      <c r="BC139" s="30">
        <v>-0.2</v>
      </c>
      <c r="BD139">
        <v>28.02</v>
      </c>
      <c r="BE139">
        <v>25.62</v>
      </c>
      <c r="BF139">
        <v>21.39</v>
      </c>
      <c r="BG139">
        <v>-1.264</v>
      </c>
      <c r="BH139">
        <v>0.89</v>
      </c>
      <c r="BI139">
        <v>1.44</v>
      </c>
      <c r="BJ139">
        <v>0.88</v>
      </c>
    </row>
    <row r="140" spans="1:62" ht="15" thickBot="1">
      <c r="A140" s="20">
        <v>43101</v>
      </c>
      <c r="B140" s="3">
        <v>7.224462365591398</v>
      </c>
      <c r="C140" s="3">
        <v>6.336693548387097</v>
      </c>
      <c r="D140" s="3">
        <v>5.0383064516129004</v>
      </c>
      <c r="E140" s="3">
        <v>3.995295698924731</v>
      </c>
      <c r="H140" s="6">
        <f t="shared" si="10"/>
        <v>5010.5904005255261</v>
      </c>
      <c r="I140" s="6">
        <f t="shared" si="11"/>
        <v>5.7660534413637103</v>
      </c>
      <c r="J140" s="3">
        <v>4.7178763440860232</v>
      </c>
      <c r="K140" s="3">
        <v>3.0766129032258047</v>
      </c>
      <c r="L140" s="3">
        <v>2.5118279569892477</v>
      </c>
      <c r="M140" s="3">
        <v>1.362768817204302</v>
      </c>
      <c r="P140" s="3">
        <v>86.783602150537661</v>
      </c>
      <c r="Q140" s="3">
        <v>82.043279569892391</v>
      </c>
      <c r="R140" s="3">
        <v>85.419354838709751</v>
      </c>
      <c r="S140" s="3">
        <v>84.268682795698865</v>
      </c>
      <c r="V140" s="3">
        <v>9.2409454147977396E-2</v>
      </c>
      <c r="W140" s="3">
        <v>9.2409454147977396E-2</v>
      </c>
      <c r="X140" s="3">
        <v>196.861693548387</v>
      </c>
      <c r="Y140" s="3">
        <v>151.80000000000001</v>
      </c>
      <c r="Z140" s="3">
        <v>7.05416666666666</v>
      </c>
      <c r="AA140" s="3">
        <v>4.5975806451612904</v>
      </c>
      <c r="AB140" s="3"/>
      <c r="AC140" s="3">
        <v>2.564516129032258</v>
      </c>
      <c r="AD140" s="3">
        <v>3.225806451612903</v>
      </c>
      <c r="AE140" s="3">
        <v>1.9096774193548387</v>
      </c>
      <c r="AF140" s="3">
        <v>1.596774193548387</v>
      </c>
      <c r="AG140" s="3"/>
      <c r="AH140" s="3"/>
      <c r="AI140" s="6">
        <f t="shared" si="8"/>
        <v>4616.611553082168</v>
      </c>
      <c r="AJ140" s="6">
        <f t="shared" si="9"/>
        <v>3.8992513904062567</v>
      </c>
      <c r="AK140" s="3">
        <v>2.1677419354838712</v>
      </c>
      <c r="AL140" s="3">
        <v>1.0709677419354835</v>
      </c>
      <c r="AM140" s="3">
        <v>0.57741935483870976</v>
      </c>
      <c r="AN140" s="3">
        <v>-0.48387096774193566</v>
      </c>
      <c r="AO140" s="3"/>
      <c r="AP140" s="3"/>
      <c r="AQ140" s="3">
        <v>58.690322580645152</v>
      </c>
      <c r="AR140" s="3">
        <v>60.864516129032253</v>
      </c>
      <c r="AS140" s="3">
        <v>63.890322580645162</v>
      </c>
      <c r="AT140" s="3">
        <v>71.567741935483852</v>
      </c>
      <c r="AU140" s="3"/>
      <c r="AV140" s="3"/>
      <c r="AW140">
        <v>3773.123070221</v>
      </c>
      <c r="AX140">
        <v>2.53570098805175</v>
      </c>
      <c r="AY140" s="20">
        <v>43435</v>
      </c>
      <c r="AZ140">
        <v>5157.0583722546471</v>
      </c>
      <c r="BA140" s="26">
        <v>0.81</v>
      </c>
      <c r="BB140" s="29">
        <v>-0.92</v>
      </c>
      <c r="BC140" s="30">
        <v>1.8</v>
      </c>
      <c r="BD140">
        <v>27.88</v>
      </c>
      <c r="BE140">
        <v>25.57</v>
      </c>
      <c r="BF140">
        <v>23.44</v>
      </c>
      <c r="BG140">
        <v>-1.1339999999999999</v>
      </c>
      <c r="BH140">
        <v>0.4</v>
      </c>
      <c r="BI140">
        <v>2.72</v>
      </c>
      <c r="BJ140">
        <v>1.44</v>
      </c>
    </row>
    <row r="141" spans="1:62" ht="15" thickBot="1">
      <c r="A141" s="20">
        <v>43132</v>
      </c>
      <c r="B141" s="3">
        <v>7.770833333333333</v>
      </c>
      <c r="C141" s="3">
        <v>7.0595238095238093</v>
      </c>
      <c r="D141" s="3">
        <v>5.8023809523809486</v>
      </c>
      <c r="E141" s="3">
        <v>4.8675595238095237</v>
      </c>
      <c r="H141" s="6">
        <f t="shared" si="10"/>
        <v>5206.0750713454363</v>
      </c>
      <c r="I141" s="6">
        <f t="shared" si="11"/>
        <v>5.3867071504666573</v>
      </c>
      <c r="J141" s="3">
        <v>5.4677083333333316</v>
      </c>
      <c r="K141" s="3">
        <v>3.8514880952380963</v>
      </c>
      <c r="L141" s="3">
        <v>3.2148809523809541</v>
      </c>
      <c r="M141" s="3">
        <v>2.0270833333333336</v>
      </c>
      <c r="P141" s="3">
        <v>87.570386904761762</v>
      </c>
      <c r="Q141" s="3">
        <v>81.928571428571303</v>
      </c>
      <c r="R141" s="3">
        <v>85.125446428571564</v>
      </c>
      <c r="S141" s="3">
        <v>83.069494047619159</v>
      </c>
      <c r="V141" s="3">
        <v>0.43525954582738002</v>
      </c>
      <c r="W141" s="3">
        <v>0.43525954582738002</v>
      </c>
      <c r="X141" s="3">
        <v>229.50654761904701</v>
      </c>
      <c r="Y141" s="3">
        <v>124.8</v>
      </c>
      <c r="Z141" s="3">
        <v>7.60059523809523</v>
      </c>
      <c r="AA141" s="3">
        <v>5.4723214285714201</v>
      </c>
      <c r="AB141" s="3"/>
      <c r="AC141" s="3">
        <v>3.2321428571428572</v>
      </c>
      <c r="AD141" s="3">
        <v>3.5535714285714284</v>
      </c>
      <c r="AE141" s="3">
        <v>2.3178571428571431</v>
      </c>
      <c r="AF141" s="3">
        <v>2.1071428571428572</v>
      </c>
      <c r="AG141" s="3"/>
      <c r="AH141" s="3"/>
      <c r="AI141" s="6">
        <f t="shared" si="8"/>
        <v>4749.4594077055381</v>
      </c>
      <c r="AJ141" s="6">
        <f t="shared" si="9"/>
        <v>3.4438807111180321</v>
      </c>
      <c r="AK141" s="3">
        <v>2.8285714285714278</v>
      </c>
      <c r="AL141" s="3">
        <v>1.8178571428571419</v>
      </c>
      <c r="AM141" s="3">
        <v>1.1464285714285716</v>
      </c>
      <c r="AN141" s="3">
        <v>-8.2142857142857031E-2</v>
      </c>
      <c r="AO141" s="3"/>
      <c r="AP141" s="3"/>
      <c r="AQ141" s="3">
        <v>57.657142857142844</v>
      </c>
      <c r="AR141" s="3">
        <v>57.774999999999999</v>
      </c>
      <c r="AS141" s="3">
        <v>60.849999999999987</v>
      </c>
      <c r="AT141" s="3">
        <v>67.207142857142856</v>
      </c>
      <c r="AU141" s="3"/>
      <c r="AV141" s="3"/>
      <c r="AW141">
        <v>3629.1598102739999</v>
      </c>
      <c r="AX141">
        <v>2.70026771597768</v>
      </c>
      <c r="AY141" s="20">
        <v>43466</v>
      </c>
      <c r="AZ141">
        <v>5119.2235554113768</v>
      </c>
      <c r="BA141" s="26">
        <v>0.75</v>
      </c>
      <c r="BB141" s="29">
        <v>-0.85</v>
      </c>
      <c r="BC141" s="30">
        <v>-0.8</v>
      </c>
      <c r="BD141">
        <v>27.85</v>
      </c>
      <c r="BE141">
        <v>25.97</v>
      </c>
      <c r="BF141">
        <v>25.13</v>
      </c>
      <c r="BG141">
        <v>-1.26</v>
      </c>
      <c r="BH141">
        <v>-1.03</v>
      </c>
      <c r="BI141">
        <v>1.02</v>
      </c>
      <c r="BJ141">
        <v>1.58</v>
      </c>
    </row>
    <row r="142" spans="1:62" ht="15" thickBot="1">
      <c r="A142" s="20">
        <v>43160</v>
      </c>
      <c r="B142" s="3">
        <v>8.321908602150538</v>
      </c>
      <c r="C142" s="3">
        <v>6.8588709677419351</v>
      </c>
      <c r="D142" s="3">
        <v>5.6321236559139738</v>
      </c>
      <c r="E142" s="3">
        <v>4.426747311827957</v>
      </c>
      <c r="H142" s="6">
        <f t="shared" si="10"/>
        <v>5070.9885410420302</v>
      </c>
      <c r="I142" s="6">
        <f t="shared" si="11"/>
        <v>6.0227144976542162</v>
      </c>
      <c r="J142" s="3">
        <v>6.1462365591397958</v>
      </c>
      <c r="K142" s="3">
        <v>4.3447580645161317</v>
      </c>
      <c r="L142" s="3">
        <v>3.8544354838709767</v>
      </c>
      <c r="M142" s="3">
        <v>2.7720430107526903</v>
      </c>
      <c r="P142" s="3">
        <v>87.832526881720369</v>
      </c>
      <c r="Q142" s="3">
        <v>84.967473118279401</v>
      </c>
      <c r="R142" s="3">
        <v>89.024999999999906</v>
      </c>
      <c r="S142" s="3">
        <v>89.259543010752651</v>
      </c>
      <c r="V142" s="3">
        <v>2.1519775091280099E-2</v>
      </c>
      <c r="W142" s="3">
        <v>2.1519775091280099E-2</v>
      </c>
      <c r="X142" s="3">
        <v>217.645295698924</v>
      </c>
      <c r="Y142" s="3">
        <v>255.8</v>
      </c>
      <c r="Z142" s="3">
        <v>8.0807795698924707</v>
      </c>
      <c r="AA142" s="3">
        <v>6.1970430107526804</v>
      </c>
      <c r="AB142" s="3"/>
      <c r="AC142" s="3">
        <v>4.17741935483871</v>
      </c>
      <c r="AD142" s="3">
        <v>3.9516129032258065</v>
      </c>
      <c r="AE142" s="3">
        <v>3.0000000000000004</v>
      </c>
      <c r="AF142" s="3">
        <v>2.2419354838709675</v>
      </c>
      <c r="AG142" s="3"/>
      <c r="AH142" s="3"/>
      <c r="AI142" s="6">
        <f t="shared" si="8"/>
        <v>4853.4859978730947</v>
      </c>
      <c r="AJ142" s="6">
        <f t="shared" si="9"/>
        <v>4.20938051696979</v>
      </c>
      <c r="AK142" s="3">
        <v>3.7096774193548385</v>
      </c>
      <c r="AL142" s="3">
        <v>2.5870967741935482</v>
      </c>
      <c r="AM142" s="3">
        <v>2.0032258064516126</v>
      </c>
      <c r="AN142" s="3">
        <v>1.0935483870967742</v>
      </c>
      <c r="AO142" s="3"/>
      <c r="AP142" s="3"/>
      <c r="AQ142" s="3">
        <v>61.409677419354836</v>
      </c>
      <c r="AR142" s="3">
        <v>64.780645161290323</v>
      </c>
      <c r="AS142" s="3">
        <v>68.477419354838702</v>
      </c>
      <c r="AT142" s="3">
        <v>78.225806451612883</v>
      </c>
      <c r="AU142" s="3"/>
      <c r="AV142" s="3"/>
      <c r="AW142">
        <v>5059.257177083</v>
      </c>
      <c r="AX142">
        <v>3.4000384254590101</v>
      </c>
      <c r="AY142" s="20">
        <v>43497</v>
      </c>
      <c r="AZ142" s="35">
        <v>5198.1159257875697</v>
      </c>
      <c r="BA142" s="26">
        <v>0.72</v>
      </c>
      <c r="BB142" s="29">
        <v>-0.7</v>
      </c>
      <c r="BC142" s="30">
        <v>2.4</v>
      </c>
      <c r="BD142">
        <v>28.1</v>
      </c>
      <c r="BE142">
        <v>26.48</v>
      </c>
      <c r="BF142">
        <v>25.13</v>
      </c>
      <c r="BG142">
        <v>-1.32</v>
      </c>
      <c r="BH142">
        <v>-0.89</v>
      </c>
      <c r="BI142">
        <v>-0.03</v>
      </c>
      <c r="BJ142">
        <v>-0.93</v>
      </c>
    </row>
    <row r="143" spans="1:62" ht="15" thickBot="1">
      <c r="A143" s="20">
        <v>43191</v>
      </c>
      <c r="B143" s="3">
        <v>7.9124999999999996</v>
      </c>
      <c r="C143" s="3">
        <v>6.6875</v>
      </c>
      <c r="D143" s="3">
        <v>5.1524999999999981</v>
      </c>
      <c r="E143" s="3">
        <v>4.1506944444444445</v>
      </c>
      <c r="H143" s="6">
        <f t="shared" si="10"/>
        <v>4962.6919114678885</v>
      </c>
      <c r="I143" s="6">
        <f t="shared" si="11"/>
        <v>6.2123228231576215</v>
      </c>
      <c r="J143" s="3">
        <v>4.7961111111111121</v>
      </c>
      <c r="K143" s="3">
        <v>2.8306944444444464</v>
      </c>
      <c r="L143" s="3">
        <v>2.3436111111111098</v>
      </c>
      <c r="M143" s="3">
        <v>1.4441666666666702</v>
      </c>
      <c r="P143" s="3">
        <v>83.446944444444398</v>
      </c>
      <c r="Q143" s="3">
        <v>78.524861111111008</v>
      </c>
      <c r="R143" s="3">
        <v>83.678472222222226</v>
      </c>
      <c r="S143" s="3">
        <v>83.749861111111088</v>
      </c>
      <c r="V143" s="3">
        <v>0.178030129359457</v>
      </c>
      <c r="W143" s="3">
        <v>0.178030129359457</v>
      </c>
      <c r="X143" s="3">
        <v>209.132222222222</v>
      </c>
      <c r="Y143" s="3">
        <v>93</v>
      </c>
      <c r="Z143" s="3">
        <v>7.7183333333333302</v>
      </c>
      <c r="AA143" s="3">
        <v>4.7723611111111097</v>
      </c>
      <c r="AB143" s="3"/>
      <c r="AC143" s="3">
        <v>3.3333333333333335</v>
      </c>
      <c r="AD143" s="3">
        <v>3.8</v>
      </c>
      <c r="AE143" s="3">
        <v>2.5233333333333334</v>
      </c>
      <c r="AF143" s="3">
        <v>2</v>
      </c>
      <c r="AG143" s="3"/>
      <c r="AH143" s="3"/>
      <c r="AI143" s="6">
        <f t="shared" si="8"/>
        <v>4713.1225563682392</v>
      </c>
      <c r="AJ143" s="6">
        <f t="shared" si="9"/>
        <v>4.3568779988273088</v>
      </c>
      <c r="AK143" s="3">
        <v>2.1800000000000002</v>
      </c>
      <c r="AL143" s="3">
        <v>0.92999999999999994</v>
      </c>
      <c r="AM143" s="3">
        <v>0.44333333333333325</v>
      </c>
      <c r="AN143" s="3">
        <v>-0.40333333333333332</v>
      </c>
      <c r="AO143" s="3"/>
      <c r="AP143" s="3"/>
      <c r="AQ143" s="3">
        <v>57.546666666666667</v>
      </c>
      <c r="AR143" s="3">
        <v>61.046666666666646</v>
      </c>
      <c r="AS143" s="3">
        <v>65.150000000000006</v>
      </c>
      <c r="AT143" s="3">
        <v>72.239999999999995</v>
      </c>
      <c r="AU143" s="3"/>
      <c r="AV143" s="3"/>
      <c r="AW143">
        <v>4306.132456888</v>
      </c>
      <c r="AX143">
        <v>2.9903697617277798</v>
      </c>
      <c r="AY143" s="20">
        <v>43525</v>
      </c>
      <c r="AZ143" s="35">
        <v>5156.8063481609242</v>
      </c>
      <c r="BA143" s="26">
        <v>0.71</v>
      </c>
      <c r="BB143" s="22">
        <v>-0.5</v>
      </c>
      <c r="BC143" s="30">
        <v>0.8</v>
      </c>
      <c r="BD143">
        <v>28.65</v>
      </c>
      <c r="BE143">
        <v>27.31</v>
      </c>
      <c r="BF143">
        <v>24.51</v>
      </c>
      <c r="BG143">
        <v>-1.65</v>
      </c>
      <c r="BH143">
        <v>-0.91</v>
      </c>
      <c r="BI143">
        <v>-1.66</v>
      </c>
      <c r="BJ143">
        <v>1.24</v>
      </c>
    </row>
    <row r="144" spans="1:62" ht="15" thickBot="1">
      <c r="A144" s="20">
        <v>43221</v>
      </c>
      <c r="B144" s="3">
        <v>7.95497311827957</v>
      </c>
      <c r="C144" s="3">
        <v>7.488575268817204</v>
      </c>
      <c r="D144" s="3">
        <v>5.7736559139784918</v>
      </c>
      <c r="E144" s="3">
        <v>4.864247311827957</v>
      </c>
      <c r="H144" s="6">
        <f t="shared" si="10"/>
        <v>5021.8312462935719</v>
      </c>
      <c r="I144" s="6">
        <f t="shared" si="11"/>
        <v>6.3920542714649482</v>
      </c>
      <c r="J144" s="3">
        <v>4.7041666666666675</v>
      </c>
      <c r="K144" s="3">
        <v>2.8313172043010759</v>
      </c>
      <c r="L144" s="3">
        <v>2.3255376344086014</v>
      </c>
      <c r="M144" s="3">
        <v>1.4538978494623638</v>
      </c>
      <c r="P144" s="3">
        <v>82.372580645161165</v>
      </c>
      <c r="Q144" s="3">
        <v>74.235887096774093</v>
      </c>
      <c r="R144" s="3">
        <v>80.048252688172028</v>
      </c>
      <c r="S144" s="3">
        <v>79.433736559139803</v>
      </c>
      <c r="V144" s="3">
        <v>0.14701160873778299</v>
      </c>
      <c r="W144" s="3">
        <v>0.14701160873778299</v>
      </c>
      <c r="X144" s="3">
        <v>209.00739247311799</v>
      </c>
      <c r="Y144" s="3">
        <v>52.6</v>
      </c>
      <c r="Z144" s="3">
        <v>7.7463709677419299</v>
      </c>
      <c r="AA144" s="3">
        <v>4.7912634408602104</v>
      </c>
      <c r="AB144" s="3"/>
      <c r="AC144" s="3">
        <v>2.435483870967742</v>
      </c>
      <c r="AD144" s="3">
        <v>3.7096774193548385</v>
      </c>
      <c r="AE144" s="3">
        <v>2.2032258064516133</v>
      </c>
      <c r="AF144" s="3">
        <v>2.096774193548387</v>
      </c>
      <c r="AG144" s="3"/>
      <c r="AH144" s="3"/>
      <c r="AI144" s="6">
        <f t="shared" si="8"/>
        <v>4647.9583228540132</v>
      </c>
      <c r="AJ144" s="6">
        <f t="shared" si="9"/>
        <v>3.805225641816643</v>
      </c>
      <c r="AK144" s="3">
        <v>1.8677419354838714</v>
      </c>
      <c r="AL144" s="3">
        <v>0.79354838709677422</v>
      </c>
      <c r="AM144" s="3">
        <v>0.39354838709677409</v>
      </c>
      <c r="AN144" s="3">
        <v>-0.48064516129032259</v>
      </c>
      <c r="AO144" s="3"/>
      <c r="AP144" s="3"/>
      <c r="AQ144" s="3">
        <v>52.938709677419361</v>
      </c>
      <c r="AR144" s="3">
        <v>49.012903225806447</v>
      </c>
      <c r="AS144" s="3">
        <v>53.583870967741923</v>
      </c>
      <c r="AT144" s="3">
        <v>62.774193548387103</v>
      </c>
      <c r="AU144" s="3"/>
      <c r="AV144" s="3"/>
      <c r="AW144">
        <v>2869.0701372100002</v>
      </c>
      <c r="AX144">
        <v>1.9281385330712399</v>
      </c>
      <c r="AY144" s="20">
        <v>43556</v>
      </c>
      <c r="AZ144" s="35">
        <v>5310.8314982693119</v>
      </c>
      <c r="BA144" s="26">
        <v>0.66</v>
      </c>
      <c r="BB144" s="22">
        <v>-0.22</v>
      </c>
      <c r="BC144" s="30">
        <v>0.6</v>
      </c>
      <c r="BD144">
        <v>29.07</v>
      </c>
      <c r="BE144">
        <v>27.73</v>
      </c>
      <c r="BF144">
        <v>23.67</v>
      </c>
      <c r="BG144">
        <v>-1.978</v>
      </c>
      <c r="BH144">
        <v>-1.34</v>
      </c>
      <c r="BI144">
        <v>0.01</v>
      </c>
      <c r="BJ144">
        <v>2.12</v>
      </c>
    </row>
    <row r="145" spans="1:62" ht="15" thickBot="1">
      <c r="A145" s="20">
        <v>43252</v>
      </c>
      <c r="B145" s="3">
        <v>7.3812499999999996</v>
      </c>
      <c r="C145" s="3">
        <v>7.2743055555555554</v>
      </c>
      <c r="D145" s="3">
        <v>5.1468055555555559</v>
      </c>
      <c r="E145" s="3">
        <v>4.2166666666666668</v>
      </c>
      <c r="H145" s="6">
        <f t="shared" si="10"/>
        <v>4819.3692321801072</v>
      </c>
      <c r="I145" s="6">
        <f t="shared" si="11"/>
        <v>7.4121944052170976</v>
      </c>
      <c r="J145" s="3">
        <v>0.64444444444444371</v>
      </c>
      <c r="K145" s="3">
        <v>-0.41930555555555576</v>
      </c>
      <c r="L145" s="3">
        <v>-0.6976388888888887</v>
      </c>
      <c r="M145" s="3">
        <v>-1.0038888888888879</v>
      </c>
      <c r="P145" s="3">
        <v>66.281944444444392</v>
      </c>
      <c r="Q145" s="3">
        <v>60.350972222222168</v>
      </c>
      <c r="R145" s="3">
        <v>68.124583333333248</v>
      </c>
      <c r="S145" s="3">
        <v>70.151944444444354</v>
      </c>
      <c r="V145" s="3">
        <v>0.76653845403871801</v>
      </c>
      <c r="W145" s="3">
        <v>0.76653845403871801</v>
      </c>
      <c r="X145" s="3">
        <v>193.43625</v>
      </c>
      <c r="Y145" s="3">
        <v>4.3999999999999897</v>
      </c>
      <c r="Z145" s="3">
        <v>7.2747222222222199</v>
      </c>
      <c r="AA145" s="3">
        <v>0.46180555555555503</v>
      </c>
      <c r="AB145" s="3"/>
      <c r="AC145" s="3">
        <v>1.2166666666666666</v>
      </c>
      <c r="AD145" s="3">
        <v>3.45</v>
      </c>
      <c r="AE145" s="3">
        <v>1.2666666666666666</v>
      </c>
      <c r="AF145" s="3">
        <v>1.3666666666666667</v>
      </c>
      <c r="AG145" s="3"/>
      <c r="AH145" s="3"/>
      <c r="AI145" s="6">
        <f t="shared" si="8"/>
        <v>4405.2560173054662</v>
      </c>
      <c r="AJ145" s="6">
        <f t="shared" si="9"/>
        <v>4.8503580011396581</v>
      </c>
      <c r="AK145" s="3">
        <v>-1.7633333333333328</v>
      </c>
      <c r="AL145" s="3">
        <v>-2.52</v>
      </c>
      <c r="AM145" s="3">
        <v>-2.6566666666666672</v>
      </c>
      <c r="AN145" s="3">
        <v>-3.0100000000000002</v>
      </c>
      <c r="AO145" s="3"/>
      <c r="AP145" s="3"/>
      <c r="AQ145" s="3">
        <v>39.849999999999994</v>
      </c>
      <c r="AR145" s="3">
        <v>42.730000000000018</v>
      </c>
      <c r="AS145" s="3">
        <v>46.699999999999996</v>
      </c>
      <c r="AT145" s="3">
        <v>56.360000000000007</v>
      </c>
      <c r="AU145" s="3"/>
      <c r="AV145" s="3"/>
      <c r="AW145">
        <v>2263.7564402120001</v>
      </c>
      <c r="AX145">
        <v>1.5720530834805599</v>
      </c>
      <c r="AY145" s="20">
        <v>43586</v>
      </c>
      <c r="AZ145" s="35">
        <v>5265.5184088840151</v>
      </c>
      <c r="BA145" s="26">
        <v>0.54</v>
      </c>
      <c r="BB145" s="22">
        <v>-0.01</v>
      </c>
      <c r="BC145" s="30">
        <v>-0.2</v>
      </c>
      <c r="BD145">
        <v>29.21</v>
      </c>
      <c r="BE145">
        <v>27.77</v>
      </c>
      <c r="BF145">
        <v>22.4</v>
      </c>
      <c r="BG145">
        <v>-2.1179999999999999</v>
      </c>
      <c r="BH145">
        <v>0.51</v>
      </c>
      <c r="BI145">
        <v>-1.57</v>
      </c>
      <c r="BJ145">
        <v>1.0900000000000001</v>
      </c>
    </row>
    <row r="146" spans="1:62" ht="15" thickBot="1">
      <c r="A146" s="20">
        <v>43282</v>
      </c>
      <c r="B146" s="3">
        <v>7.529569892473118</v>
      </c>
      <c r="C146" s="3">
        <v>7.329301075268817</v>
      </c>
      <c r="D146" s="3">
        <v>5.2142473118279575</v>
      </c>
      <c r="E146" s="3">
        <v>4.283602150537634</v>
      </c>
      <c r="F146" s="3">
        <v>2.7511194029850756</v>
      </c>
      <c r="H146" s="6">
        <f t="shared" si="10"/>
        <v>4910.1402977498401</v>
      </c>
      <c r="I146" s="6">
        <f t="shared" si="11"/>
        <v>7.0672611962170242</v>
      </c>
      <c r="J146" s="3">
        <v>4.4758064516128897E-2</v>
      </c>
      <c r="K146" s="3">
        <v>-1.3717741935483869</v>
      </c>
      <c r="L146" s="3">
        <v>-1.7416666666666676</v>
      </c>
      <c r="M146" s="3">
        <v>-2.1485215053763436</v>
      </c>
      <c r="N146" s="3">
        <v>-2.901679104477612</v>
      </c>
      <c r="P146" s="3">
        <v>62.946236559139727</v>
      </c>
      <c r="Q146" s="3">
        <v>57.093279569892346</v>
      </c>
      <c r="R146" s="3">
        <v>64.265188172042983</v>
      </c>
      <c r="S146" s="3">
        <v>65.721102150537448</v>
      </c>
      <c r="T146" s="3">
        <v>69.517910447761125</v>
      </c>
      <c r="V146" s="3">
        <v>0.77828430885482003</v>
      </c>
      <c r="W146" s="3">
        <v>0.77828430885482003</v>
      </c>
      <c r="X146" s="3">
        <v>195.51841397849401</v>
      </c>
      <c r="Y146" s="3">
        <v>9</v>
      </c>
      <c r="Z146" s="3">
        <v>7.3931451612903203</v>
      </c>
      <c r="AA146" s="3">
        <v>-0.16169354838709599</v>
      </c>
      <c r="AB146" s="3"/>
      <c r="AC146" s="3">
        <v>0.87096774193548387</v>
      </c>
      <c r="AD146" s="3">
        <v>3.2580645161290325</v>
      </c>
      <c r="AE146" s="3">
        <v>0.967741935483871</v>
      </c>
      <c r="AF146" s="3">
        <v>1.2903225806451613</v>
      </c>
      <c r="AG146" s="3">
        <v>-8.6956521739130432E-2</v>
      </c>
      <c r="AH146" s="3"/>
      <c r="AI146" s="6">
        <f t="shared" si="8"/>
        <v>4471.8456473099268</v>
      </c>
      <c r="AJ146" s="6">
        <f t="shared" si="9"/>
        <v>4.5868491328549137</v>
      </c>
      <c r="AK146" s="3">
        <v>-2.5290322580645159</v>
      </c>
      <c r="AL146" s="3">
        <v>-4.3677419354838714</v>
      </c>
      <c r="AM146" s="3">
        <v>-4.4064516129032247</v>
      </c>
      <c r="AN146" s="3">
        <v>-4.9064516129032265</v>
      </c>
      <c r="AO146" s="3">
        <v>-5.4739130434782615</v>
      </c>
      <c r="AP146" s="3"/>
      <c r="AQ146" s="3">
        <v>36.064516129032256</v>
      </c>
      <c r="AR146" s="3">
        <v>37.048387096774192</v>
      </c>
      <c r="AS146" s="3">
        <v>40.561290322580639</v>
      </c>
      <c r="AT146" s="3">
        <v>47.841935483870962</v>
      </c>
      <c r="AU146" s="3">
        <v>50.352173913043472</v>
      </c>
      <c r="AV146" s="3"/>
      <c r="AW146">
        <v>1940.3414308419999</v>
      </c>
      <c r="AX146">
        <v>1.30399289707124</v>
      </c>
      <c r="AY146" s="20">
        <v>43617</v>
      </c>
      <c r="AZ146" s="35">
        <v>5084.004619134982</v>
      </c>
      <c r="BA146" s="34">
        <v>0.45</v>
      </c>
      <c r="BB146" s="22">
        <v>0.09</v>
      </c>
      <c r="BC146" s="30">
        <v>0.4</v>
      </c>
      <c r="BD146">
        <v>29.13</v>
      </c>
      <c r="BE146">
        <v>27.42</v>
      </c>
      <c r="BF146">
        <v>21.56</v>
      </c>
      <c r="BG146">
        <v>-2.089</v>
      </c>
      <c r="BH146">
        <v>-0.37</v>
      </c>
      <c r="BI146">
        <v>0.55000000000000004</v>
      </c>
      <c r="BJ146">
        <v>1.39</v>
      </c>
    </row>
    <row r="147" spans="1:62" ht="15" thickBot="1">
      <c r="A147" s="20">
        <v>43313</v>
      </c>
      <c r="B147" s="3">
        <v>8.088037634408602</v>
      </c>
      <c r="C147" s="3">
        <v>7.4751344086021509</v>
      </c>
      <c r="D147" s="3">
        <v>5.4833333333333334</v>
      </c>
      <c r="E147" s="3">
        <v>4.398521505376344</v>
      </c>
      <c r="F147" s="3">
        <v>3.0794354838709683</v>
      </c>
      <c r="H147" s="6">
        <f t="shared" si="10"/>
        <v>4962.7426938877006</v>
      </c>
      <c r="I147" s="6">
        <f t="shared" si="11"/>
        <v>6.8862933795562338</v>
      </c>
      <c r="J147" s="3">
        <v>0.51075268817204378</v>
      </c>
      <c r="K147" s="3">
        <v>-0.32594086021505375</v>
      </c>
      <c r="L147" s="3">
        <v>-0.56720430107526842</v>
      </c>
      <c r="M147" s="3">
        <v>-0.87647849462365623</v>
      </c>
      <c r="N147" s="3">
        <v>-2.2076612903225814</v>
      </c>
      <c r="P147" s="3">
        <v>62.749327956989163</v>
      </c>
      <c r="Q147" s="3">
        <v>60.072043010752601</v>
      </c>
      <c r="R147" s="3">
        <v>67.735349462365605</v>
      </c>
      <c r="S147" s="3">
        <v>70.529166666666526</v>
      </c>
      <c r="T147" s="3">
        <v>70.626478494623541</v>
      </c>
      <c r="V147" s="3">
        <v>0.99176047653811295</v>
      </c>
      <c r="W147" s="3">
        <v>0.99176047653811295</v>
      </c>
      <c r="X147" s="3">
        <v>242.38749999999999</v>
      </c>
      <c r="Y147" s="3">
        <v>8.1999999999999993</v>
      </c>
      <c r="Z147" s="3">
        <v>7.9756720430107499</v>
      </c>
      <c r="AA147" s="3">
        <v>0.25268817204300997</v>
      </c>
      <c r="AB147" s="3"/>
      <c r="AC147" s="3">
        <v>1.467741935483871</v>
      </c>
      <c r="AD147" s="3">
        <v>3.7096774193548385</v>
      </c>
      <c r="AE147" s="3">
        <v>1.5225806451612904</v>
      </c>
      <c r="AF147" s="3">
        <v>1.3387096774193548</v>
      </c>
      <c r="AG147" s="3">
        <v>-8.0645161290322578E-2</v>
      </c>
      <c r="AH147" s="3"/>
      <c r="AI147" s="6">
        <f t="shared" si="8"/>
        <v>4504.3212910955699</v>
      </c>
      <c r="AJ147" s="6">
        <f t="shared" si="9"/>
        <v>5.5135427849400038</v>
      </c>
      <c r="AK147" s="3">
        <v>-1.7290322580645161</v>
      </c>
      <c r="AL147" s="3">
        <v>-2.3225806451612905</v>
      </c>
      <c r="AM147" s="3">
        <v>-2.5225806451612898</v>
      </c>
      <c r="AN147" s="3">
        <v>-2.9548387096774196</v>
      </c>
      <c r="AO147" s="3">
        <v>-4.5225806451612902</v>
      </c>
      <c r="AP147" s="3"/>
      <c r="AQ147" s="3">
        <v>34.13225806451613</v>
      </c>
      <c r="AR147" s="3">
        <v>38.41612903225807</v>
      </c>
      <c r="AS147" s="3">
        <v>42.303225806451614</v>
      </c>
      <c r="AT147" s="3">
        <v>50.687096774193549</v>
      </c>
      <c r="AU147" s="3">
        <v>48.190322580645159</v>
      </c>
      <c r="AV147" s="3"/>
      <c r="AW147">
        <v>1701.84353375</v>
      </c>
      <c r="AX147">
        <v>1.14371205225134</v>
      </c>
      <c r="AY147" s="20">
        <v>43647</v>
      </c>
      <c r="AZ147">
        <v>5028.9839181435018</v>
      </c>
      <c r="BA147" s="22">
        <v>0.28000000000000003</v>
      </c>
      <c r="BB147" s="22">
        <v>0.23</v>
      </c>
      <c r="BC147" s="30">
        <v>-0.5</v>
      </c>
      <c r="BD147">
        <v>29.24</v>
      </c>
      <c r="BE147">
        <v>26.94</v>
      </c>
      <c r="BF147">
        <v>20.74</v>
      </c>
      <c r="BG147">
        <v>-2.1589999999999998</v>
      </c>
      <c r="BH147">
        <v>1.27</v>
      </c>
      <c r="BI147">
        <v>-0.78</v>
      </c>
      <c r="BJ147">
        <v>1.97</v>
      </c>
    </row>
    <row r="148" spans="1:62" ht="15" thickBot="1">
      <c r="A148" s="20">
        <v>43344</v>
      </c>
      <c r="B148" s="3">
        <v>8.1291666666666664</v>
      </c>
      <c r="C148" s="3">
        <v>7.9145833333333337</v>
      </c>
      <c r="D148" s="3">
        <v>6.1724999999999985</v>
      </c>
      <c r="E148" s="3">
        <v>5.1624999999999996</v>
      </c>
      <c r="F148" s="3">
        <v>3.8224999999999985</v>
      </c>
      <c r="H148" s="6">
        <f t="shared" si="10"/>
        <v>5121.7644910125309</v>
      </c>
      <c r="I148" s="6">
        <f t="shared" si="11"/>
        <v>6.4208306019754477</v>
      </c>
      <c r="J148" s="3">
        <v>1.2511111111111111</v>
      </c>
      <c r="K148" s="3">
        <v>-0.56791666666666385</v>
      </c>
      <c r="L148" s="3">
        <v>-0.94430555555555173</v>
      </c>
      <c r="M148" s="3">
        <v>-1.3769444444444463</v>
      </c>
      <c r="N148" s="3">
        <v>-2.7505555555555556</v>
      </c>
      <c r="P148" s="3">
        <v>67.4884722222222</v>
      </c>
      <c r="Q148" s="3">
        <v>59.635000000000019</v>
      </c>
      <c r="R148" s="3">
        <v>64.948055555555598</v>
      </c>
      <c r="S148" s="3">
        <v>66.748750000000015</v>
      </c>
      <c r="T148" s="3">
        <v>66.935416666666697</v>
      </c>
      <c r="V148" s="3">
        <v>0.30321948099055401</v>
      </c>
      <c r="W148" s="3">
        <v>0.30321948099055401</v>
      </c>
      <c r="X148" s="3">
        <v>236.65611111111099</v>
      </c>
      <c r="Y148" s="3">
        <v>35.799999999999997</v>
      </c>
      <c r="Z148" s="3">
        <v>7.9165277777777696</v>
      </c>
      <c r="AA148" s="3">
        <v>1.08819444444444</v>
      </c>
      <c r="AB148" s="3"/>
      <c r="AC148" s="3">
        <v>1</v>
      </c>
      <c r="AD148" s="3">
        <v>3.75</v>
      </c>
      <c r="AE148" s="3">
        <v>1.8666666666666667</v>
      </c>
      <c r="AF148" s="3">
        <v>1.9666666666666666</v>
      </c>
      <c r="AG148" s="3">
        <v>0.53333333333333333</v>
      </c>
      <c r="AH148" s="3"/>
      <c r="AI148" s="6">
        <f t="shared" si="8"/>
        <v>4619.4119576621206</v>
      </c>
      <c r="AJ148" s="6">
        <f t="shared" si="9"/>
        <v>4.5464837527749014</v>
      </c>
      <c r="AK148" s="3">
        <v>-1.3933333333333335</v>
      </c>
      <c r="AL148" s="3">
        <v>-2.8299999999999992</v>
      </c>
      <c r="AM148" s="3">
        <v>-3.026666666666666</v>
      </c>
      <c r="AN148" s="3">
        <v>-3.5433333333333339</v>
      </c>
      <c r="AO148" s="3">
        <v>-5.3833333333333346</v>
      </c>
      <c r="AP148" s="3"/>
      <c r="AQ148" s="3">
        <v>33.016666666666666</v>
      </c>
      <c r="AR148" s="3">
        <v>35.71</v>
      </c>
      <c r="AS148" s="3">
        <v>39.06666666666667</v>
      </c>
      <c r="AT148" s="3">
        <v>45.370000000000005</v>
      </c>
      <c r="AU148" s="3">
        <v>43.760000000000012</v>
      </c>
      <c r="AV148" s="3"/>
      <c r="AW148">
        <v>1653.6642591299999</v>
      </c>
      <c r="AX148">
        <v>1.14837795772917</v>
      </c>
      <c r="AY148" s="20">
        <v>43678</v>
      </c>
      <c r="AZ148">
        <v>5049.489175298253</v>
      </c>
      <c r="BA148" s="22">
        <v>0.14000000000000001</v>
      </c>
      <c r="BB148" s="22">
        <v>0.49</v>
      </c>
      <c r="BC148" s="30">
        <v>-1.5</v>
      </c>
      <c r="BD148">
        <v>29.34</v>
      </c>
      <c r="BE148">
        <v>27.19</v>
      </c>
      <c r="BF148">
        <v>20.65</v>
      </c>
      <c r="BG148">
        <v>-1.9790000000000001</v>
      </c>
      <c r="BH148">
        <v>1.44</v>
      </c>
      <c r="BI148">
        <v>1.83</v>
      </c>
      <c r="BJ148">
        <v>1.67</v>
      </c>
    </row>
    <row r="149" spans="1:62" ht="15" thickBot="1">
      <c r="A149" s="20">
        <v>43374</v>
      </c>
      <c r="B149" s="3">
        <v>7.700268817204301</v>
      </c>
      <c r="C149" s="3">
        <v>6.807795698924731</v>
      </c>
      <c r="D149" s="3">
        <v>5.5141129032258043</v>
      </c>
      <c r="E149" s="3">
        <v>4.440860215053763</v>
      </c>
      <c r="F149" s="3">
        <v>3.3018817204301087</v>
      </c>
      <c r="H149" s="6">
        <f t="shared" si="10"/>
        <v>5130.8739926521921</v>
      </c>
      <c r="I149" s="6">
        <f t="shared" si="11"/>
        <v>5.6247124987243415</v>
      </c>
      <c r="J149" s="3">
        <v>3.862096774193549</v>
      </c>
      <c r="K149" s="3">
        <v>2.9284946236559146</v>
      </c>
      <c r="L149" s="3">
        <v>2.5080645161290334</v>
      </c>
      <c r="M149" s="3">
        <v>1.9022849462365587</v>
      </c>
      <c r="N149" s="3">
        <v>0.92634408602150542</v>
      </c>
      <c r="P149" s="3">
        <v>79.518548387096686</v>
      </c>
      <c r="Q149" s="3">
        <v>78.061559139784862</v>
      </c>
      <c r="R149" s="3">
        <v>82.494086021505353</v>
      </c>
      <c r="S149" s="3">
        <v>84.652553763440807</v>
      </c>
      <c r="T149" s="3">
        <v>85.465188172042957</v>
      </c>
      <c r="V149" s="3">
        <v>0.20736596967470899</v>
      </c>
      <c r="W149" s="3">
        <v>0.20736596967470899</v>
      </c>
      <c r="X149" s="3">
        <v>209.577688172043</v>
      </c>
      <c r="Y149" s="3">
        <v>133</v>
      </c>
      <c r="Z149" s="3">
        <v>7.4938172043010702</v>
      </c>
      <c r="AA149" s="3">
        <v>3.7821236559139702</v>
      </c>
      <c r="AB149" s="3"/>
      <c r="AC149" s="3">
        <v>2.274193548387097</v>
      </c>
      <c r="AD149" s="3">
        <v>3.1774193548387095</v>
      </c>
      <c r="AE149" s="3">
        <v>1.8774193548387097</v>
      </c>
      <c r="AF149" s="3">
        <v>1.7258064516129032</v>
      </c>
      <c r="AG149" s="3">
        <v>0.52580645161290329</v>
      </c>
      <c r="AH149" s="3"/>
      <c r="AI149" s="6">
        <f t="shared" si="8"/>
        <v>4671.7625290492624</v>
      </c>
      <c r="AJ149" s="6">
        <f t="shared" si="9"/>
        <v>3.8895762189058076</v>
      </c>
      <c r="AK149" s="3">
        <v>1.1548387096774193</v>
      </c>
      <c r="AL149" s="3">
        <v>0.81935483870967762</v>
      </c>
      <c r="AM149" s="3">
        <v>0.38387096774193546</v>
      </c>
      <c r="AN149" s="3">
        <v>-0.26451612903225813</v>
      </c>
      <c r="AO149" s="3">
        <v>-1.5225806451612904</v>
      </c>
      <c r="AP149" s="3"/>
      <c r="AQ149" s="3">
        <v>51.174193548387109</v>
      </c>
      <c r="AR149" s="3">
        <v>55.448387096774198</v>
      </c>
      <c r="AS149" s="3">
        <v>59.570967741935476</v>
      </c>
      <c r="AT149" s="3">
        <v>68.603225806451633</v>
      </c>
      <c r="AU149" s="3">
        <v>67.187096774193549</v>
      </c>
      <c r="AV149" s="3"/>
      <c r="AW149">
        <v>2310.99112298</v>
      </c>
      <c r="AX149">
        <v>1.5530854321102101</v>
      </c>
      <c r="AY149" s="20">
        <v>43709</v>
      </c>
      <c r="AZ149">
        <v>5091.4971120783121</v>
      </c>
      <c r="BA149" s="22">
        <v>0.19</v>
      </c>
      <c r="BB149" s="26">
        <v>0.76</v>
      </c>
      <c r="BC149" s="30">
        <v>0.6</v>
      </c>
      <c r="BD149">
        <v>29.71</v>
      </c>
      <c r="BE149">
        <v>27.62</v>
      </c>
      <c r="BF149">
        <v>21.18</v>
      </c>
      <c r="BG149">
        <v>-1.89</v>
      </c>
      <c r="BH149">
        <v>0.21</v>
      </c>
      <c r="BI149">
        <v>2.76</v>
      </c>
      <c r="BJ149">
        <v>0.93</v>
      </c>
    </row>
    <row r="150" spans="1:62" ht="15" thickBot="1">
      <c r="A150" s="20">
        <v>43405</v>
      </c>
      <c r="B150" s="3">
        <v>8.1131944444444439</v>
      </c>
      <c r="C150" s="3">
        <v>7.3638888888888889</v>
      </c>
      <c r="D150" s="3">
        <v>6.1463888888888834</v>
      </c>
      <c r="E150" s="3">
        <v>5.2020833333333334</v>
      </c>
      <c r="F150" s="3">
        <v>3.994861111111105</v>
      </c>
      <c r="H150" s="6">
        <f t="shared" si="10"/>
        <v>5295.10153128812</v>
      </c>
      <c r="I150" s="6">
        <f t="shared" si="11"/>
        <v>5.3631749356877432</v>
      </c>
      <c r="J150" s="3">
        <v>5.5036111111111143</v>
      </c>
      <c r="K150" s="3">
        <v>3.9608333333333365</v>
      </c>
      <c r="L150" s="3">
        <v>3.4852777777777773</v>
      </c>
      <c r="M150" s="3">
        <v>2.7931944444444423</v>
      </c>
      <c r="N150" s="3">
        <v>1.7727777777777767</v>
      </c>
      <c r="P150" s="3">
        <v>85.750000000000085</v>
      </c>
      <c r="Q150" s="3">
        <v>80.611527777777567</v>
      </c>
      <c r="R150" s="3">
        <v>84.55236111111094</v>
      </c>
      <c r="S150" s="3">
        <v>85.633749999999836</v>
      </c>
      <c r="T150" s="3">
        <v>86.500138888888799</v>
      </c>
      <c r="V150" s="3">
        <v>0.41434733396345302</v>
      </c>
      <c r="W150" s="3">
        <v>0.41434733396345302</v>
      </c>
      <c r="X150" s="3">
        <v>209.096527777777</v>
      </c>
      <c r="Y150" s="3">
        <v>132.6</v>
      </c>
      <c r="Z150" s="3">
        <v>7.9077777777777696</v>
      </c>
      <c r="AA150" s="3">
        <v>5.5381944444444402</v>
      </c>
      <c r="AB150" s="3"/>
      <c r="AC150" s="3">
        <v>3.3666666666666667</v>
      </c>
      <c r="AD150" s="3">
        <v>3.9666666666666668</v>
      </c>
      <c r="AE150" s="3">
        <v>2.5300000000000002</v>
      </c>
      <c r="AF150" s="3">
        <v>2.4</v>
      </c>
      <c r="AG150" s="3">
        <v>1.27</v>
      </c>
      <c r="AH150" s="3"/>
      <c r="AI150" s="6">
        <f t="shared" ref="AI150:AI180" si="12">INTERCEPT($C$2:$F$2,AD150:AG150)</f>
        <v>4821.7326463041891</v>
      </c>
      <c r="AJ150" s="6">
        <f t="shared" ref="AJ150:AJ180" si="13">-SLOPE(AD150:AG150,$C$2:$F$2)*1000</f>
        <v>3.9330286879665084</v>
      </c>
      <c r="AK150" s="3">
        <v>2.6566666666666667</v>
      </c>
      <c r="AL150" s="3">
        <v>2.1066666666666665</v>
      </c>
      <c r="AM150" s="3">
        <v>1.5066666666666666</v>
      </c>
      <c r="AN150" s="3">
        <v>0.92666666666666686</v>
      </c>
      <c r="AO150" s="3">
        <v>-0.4366666666666667</v>
      </c>
      <c r="AP150" s="3"/>
      <c r="AQ150" s="3">
        <v>60.16</v>
      </c>
      <c r="AR150" s="3">
        <v>59.103333333333318</v>
      </c>
      <c r="AS150" s="3">
        <v>62.013333333333328</v>
      </c>
      <c r="AT150" s="3">
        <v>69.566666666666663</v>
      </c>
      <c r="AU150" s="3">
        <v>66.416666666666671</v>
      </c>
      <c r="AV150" s="3"/>
      <c r="AW150">
        <v>3821.2599401960001</v>
      </c>
      <c r="AX150">
        <v>2.6536527362472202</v>
      </c>
      <c r="AY150" s="20">
        <v>43739</v>
      </c>
      <c r="AZ150">
        <v>5110.8963110976556</v>
      </c>
      <c r="BA150" s="22">
        <v>0.35</v>
      </c>
      <c r="BB150" s="26">
        <v>0.9</v>
      </c>
      <c r="BC150" s="30">
        <v>-0.1</v>
      </c>
      <c r="BD150">
        <v>29.61</v>
      </c>
      <c r="BE150">
        <v>27.61</v>
      </c>
      <c r="BF150">
        <v>22.46</v>
      </c>
      <c r="BG150">
        <v>-1.734</v>
      </c>
      <c r="BH150">
        <v>0.24</v>
      </c>
      <c r="BI150">
        <v>2.84</v>
      </c>
      <c r="BJ150">
        <v>-0.11</v>
      </c>
    </row>
    <row r="151" spans="1:62" ht="15" thickBot="1">
      <c r="A151" s="20">
        <v>43435</v>
      </c>
      <c r="B151" s="3">
        <v>8.2681451612903221</v>
      </c>
      <c r="C151" s="3">
        <v>7.387096774193548</v>
      </c>
      <c r="D151" s="3">
        <v>5.7431451612903217</v>
      </c>
      <c r="E151" s="3">
        <v>4.9106182795698921</v>
      </c>
      <c r="F151" s="3">
        <v>3.6830645161290314</v>
      </c>
      <c r="H151" s="6">
        <f t="shared" si="10"/>
        <v>5157.0583722546471</v>
      </c>
      <c r="I151" s="6">
        <f t="shared" si="11"/>
        <v>5.7643686535833218</v>
      </c>
      <c r="J151" s="3">
        <v>3.8502688172043027</v>
      </c>
      <c r="K151" s="3">
        <v>2.0033602150537639</v>
      </c>
      <c r="L151" s="3">
        <v>1.6821236559139783</v>
      </c>
      <c r="M151" s="3">
        <v>1.1786290322580646</v>
      </c>
      <c r="N151" s="3">
        <v>6.3440860215054393E-2</v>
      </c>
      <c r="P151" s="3">
        <v>77.134677419354816</v>
      </c>
      <c r="Q151" s="3">
        <v>70.998387096774152</v>
      </c>
      <c r="R151" s="3">
        <v>77.398790322580638</v>
      </c>
      <c r="S151" s="3">
        <v>79.110080645161318</v>
      </c>
      <c r="T151" s="3">
        <v>79.808333333333238</v>
      </c>
      <c r="V151" s="3">
        <v>0.106951623821836</v>
      </c>
      <c r="W151" s="3">
        <v>0.106951623821836</v>
      </c>
      <c r="X151" s="3">
        <v>238.58239247311801</v>
      </c>
      <c r="Y151" s="3">
        <v>119.6</v>
      </c>
      <c r="Z151" s="3">
        <v>8.0916666666666597</v>
      </c>
      <c r="AA151" s="3">
        <v>3.7967741935483801</v>
      </c>
      <c r="AB151" s="3"/>
      <c r="AC151" s="3">
        <v>2.661290322580645</v>
      </c>
      <c r="AD151" s="3">
        <v>3.7419354838709675</v>
      </c>
      <c r="AE151" s="3">
        <v>2.1451612903225805</v>
      </c>
      <c r="AF151" s="3">
        <v>2.1451612903225805</v>
      </c>
      <c r="AG151" s="3">
        <v>0.91935483870967738</v>
      </c>
      <c r="AH151" s="3"/>
      <c r="AI151" s="6">
        <f t="shared" si="12"/>
        <v>4721.6082649443988</v>
      </c>
      <c r="AJ151" s="6">
        <f t="shared" si="13"/>
        <v>4.0391151902113034</v>
      </c>
      <c r="AK151" s="3">
        <v>1.2387096774193549</v>
      </c>
      <c r="AL151" s="3">
        <v>1.343011723336883E-16</v>
      </c>
      <c r="AM151" s="3">
        <v>-0.39354838709677431</v>
      </c>
      <c r="AN151" s="3">
        <v>-1.0419354838709669</v>
      </c>
      <c r="AO151" s="3">
        <v>-2.6161290322580641</v>
      </c>
      <c r="AP151" s="3"/>
      <c r="AQ151" s="3">
        <v>47.435483870967751</v>
      </c>
      <c r="AR151" s="3">
        <v>51.680645161290322</v>
      </c>
      <c r="AS151" s="3">
        <v>56.748387096774188</v>
      </c>
      <c r="AT151" s="3">
        <v>63.312903225806444</v>
      </c>
      <c r="AU151" s="3">
        <v>62.203225806451591</v>
      </c>
      <c r="AV151" s="3"/>
      <c r="AW151">
        <v>3524.8131362620002</v>
      </c>
      <c r="AX151">
        <v>2.3688260324341401</v>
      </c>
      <c r="AY151" s="20">
        <v>43770</v>
      </c>
      <c r="AZ151">
        <v>5232.1713084463954</v>
      </c>
      <c r="BA151" s="26">
        <v>0.51</v>
      </c>
      <c r="BB151" s="26">
        <v>0.81</v>
      </c>
      <c r="BC151" s="30">
        <v>1.7</v>
      </c>
      <c r="BD151">
        <v>29.45</v>
      </c>
      <c r="BE151">
        <v>27.49</v>
      </c>
      <c r="BF151">
        <v>23.86</v>
      </c>
      <c r="BG151">
        <v>-1.7</v>
      </c>
      <c r="BH151">
        <v>0.86</v>
      </c>
      <c r="BI151">
        <v>1.44</v>
      </c>
      <c r="BJ151">
        <v>0.61</v>
      </c>
    </row>
    <row r="152" spans="1:62" ht="15" thickBot="1">
      <c r="A152" s="20">
        <v>43466</v>
      </c>
      <c r="B152" s="3">
        <v>8.3373655913978499</v>
      </c>
      <c r="C152" s="3">
        <v>6.932795698924731</v>
      </c>
      <c r="D152" s="3">
        <v>5.6534946236559103</v>
      </c>
      <c r="E152" s="3">
        <v>4.5248655913978491</v>
      </c>
      <c r="F152" s="3">
        <v>3.3154569892473109</v>
      </c>
      <c r="H152" s="6">
        <f t="shared" si="10"/>
        <v>5119.2235554113768</v>
      </c>
      <c r="I152" s="6">
        <f t="shared" si="11"/>
        <v>5.8192946134813175</v>
      </c>
      <c r="J152" s="3">
        <v>5.2272849462365585</v>
      </c>
      <c r="K152" s="3">
        <v>3.4922043010752679</v>
      </c>
      <c r="L152" s="3">
        <v>3.1939516129032315</v>
      </c>
      <c r="M152" s="3">
        <v>2.729032258064513</v>
      </c>
      <c r="N152" s="3">
        <v>1.7599462365591378</v>
      </c>
      <c r="P152" s="3">
        <v>83.186290322580462</v>
      </c>
      <c r="Q152" s="3">
        <v>80.125403225806394</v>
      </c>
      <c r="R152" s="3">
        <v>85.306451612903217</v>
      </c>
      <c r="S152" s="3">
        <v>88.98682795698916</v>
      </c>
      <c r="T152" s="3">
        <v>89.846639784946177</v>
      </c>
      <c r="V152" s="3">
        <v>0.32617663643962103</v>
      </c>
      <c r="W152" s="3">
        <v>0.32617663643962103</v>
      </c>
      <c r="X152" s="3">
        <v>214.65685483870899</v>
      </c>
      <c r="Y152" s="3">
        <v>206.2</v>
      </c>
      <c r="Z152" s="3">
        <v>8.1790322580645096</v>
      </c>
      <c r="AA152" s="3">
        <v>5.2541666666666602</v>
      </c>
      <c r="AB152" s="3"/>
      <c r="AC152" s="3">
        <v>4.209677419354839</v>
      </c>
      <c r="AD152" s="3">
        <v>3.8870967741935485</v>
      </c>
      <c r="AE152" s="3">
        <v>2.8</v>
      </c>
      <c r="AF152" s="3">
        <v>2.0806451612903225</v>
      </c>
      <c r="AG152" s="3">
        <v>0.71290322580645171</v>
      </c>
      <c r="AH152" s="3"/>
      <c r="AI152" s="6">
        <f t="shared" si="12"/>
        <v>4714.6441765975596</v>
      </c>
      <c r="AJ152" s="6">
        <f t="shared" si="13"/>
        <v>4.971852839800075</v>
      </c>
      <c r="AK152" s="3">
        <v>2.9161290322580649</v>
      </c>
      <c r="AL152" s="3">
        <v>1.5967741935483868</v>
      </c>
      <c r="AM152" s="3">
        <v>1.3096774193548386</v>
      </c>
      <c r="AN152" s="3">
        <v>0.77419354838709675</v>
      </c>
      <c r="AO152" s="3">
        <v>-0.31612903225806455</v>
      </c>
      <c r="AP152" s="3"/>
      <c r="AQ152" s="3">
        <v>60.467741935483865</v>
      </c>
      <c r="AR152" s="3">
        <v>64.945161290322588</v>
      </c>
      <c r="AS152" s="3">
        <v>68.93548387096773</v>
      </c>
      <c r="AT152" s="3">
        <v>76.529032258064518</v>
      </c>
      <c r="AU152" s="3">
        <v>74.758064516129039</v>
      </c>
      <c r="AV152" s="3"/>
      <c r="AW152">
        <v>2941.4305605969998</v>
      </c>
      <c r="AX152">
        <v>2.82287001976679</v>
      </c>
      <c r="AY152" s="20">
        <v>43800</v>
      </c>
      <c r="AZ152">
        <v>5228.2618162571443</v>
      </c>
      <c r="BA152" s="26">
        <v>0.55000000000000004</v>
      </c>
      <c r="BB152" s="26">
        <v>0.75</v>
      </c>
      <c r="BC152" s="30">
        <v>-0.1</v>
      </c>
      <c r="BD152">
        <v>29.08</v>
      </c>
      <c r="BE152">
        <v>27.19</v>
      </c>
      <c r="BF152">
        <v>25.4</v>
      </c>
      <c r="BG152">
        <v>-1.7250000000000001</v>
      </c>
      <c r="BH152">
        <v>0.83</v>
      </c>
      <c r="BI152">
        <v>2.79</v>
      </c>
      <c r="BJ152">
        <v>0.59</v>
      </c>
    </row>
    <row r="153" spans="1:62" ht="15" thickBot="1">
      <c r="A153" s="20">
        <v>43497</v>
      </c>
      <c r="B153" s="3">
        <v>8.6369047619047628</v>
      </c>
      <c r="C153" s="3">
        <v>7.4352678571428568</v>
      </c>
      <c r="D153" s="3">
        <v>6.3803571428571422</v>
      </c>
      <c r="E153" s="3">
        <v>5.010416666666667</v>
      </c>
      <c r="F153" s="3">
        <v>3.8212797619047634</v>
      </c>
      <c r="H153" s="6">
        <f t="shared" si="10"/>
        <v>5198.1159257875697</v>
      </c>
      <c r="I153" s="6">
        <f t="shared" si="11"/>
        <v>5.9572322228751808</v>
      </c>
      <c r="J153" s="3">
        <v>6.7249999999999917</v>
      </c>
      <c r="K153" s="3">
        <v>4.6254464285714239</v>
      </c>
      <c r="L153" s="3">
        <v>4.3023809523809531</v>
      </c>
      <c r="M153" s="3">
        <v>3.7593750000000004</v>
      </c>
      <c r="N153" s="3">
        <v>2.9160714285714313</v>
      </c>
      <c r="P153" s="3">
        <v>88.921875000000071</v>
      </c>
      <c r="Q153" s="3">
        <v>83.128273809523648</v>
      </c>
      <c r="R153" s="3">
        <v>87.20952380952366</v>
      </c>
      <c r="S153" s="3">
        <v>91.989732142857008</v>
      </c>
      <c r="T153" s="3">
        <v>93.442708333333272</v>
      </c>
      <c r="V153" s="3">
        <v>0.20613869103118501</v>
      </c>
      <c r="W153" s="3">
        <v>0.20613869103118501</v>
      </c>
      <c r="X153" s="3">
        <v>200.15803571428501</v>
      </c>
      <c r="Y153" s="3">
        <v>186.8</v>
      </c>
      <c r="Z153" s="3">
        <v>8.4043154761904706</v>
      </c>
      <c r="AA153" s="3">
        <v>6.8660714285714199</v>
      </c>
      <c r="AB153" s="3"/>
      <c r="AC153" s="3">
        <v>4.7321428571428568</v>
      </c>
      <c r="AD153" s="3">
        <v>4.2321428571428568</v>
      </c>
      <c r="AE153" s="3">
        <v>3.5000000000000004</v>
      </c>
      <c r="AF153" s="3">
        <v>2.5</v>
      </c>
      <c r="AG153" s="3">
        <v>1.3392857142857142</v>
      </c>
      <c r="AH153" s="3"/>
      <c r="AI153" s="6">
        <f t="shared" si="12"/>
        <v>4856.9142510448964</v>
      </c>
      <c r="AJ153" s="6">
        <f t="shared" si="13"/>
        <v>4.7295752110779805</v>
      </c>
      <c r="AK153" s="3">
        <v>4.1642857142857146</v>
      </c>
      <c r="AL153" s="3">
        <v>2.7249999999999992</v>
      </c>
      <c r="AM153" s="3">
        <v>2.4214285714285713</v>
      </c>
      <c r="AN153" s="3">
        <v>1.9285714285714288</v>
      </c>
      <c r="AO153" s="3">
        <v>0.90357142857142847</v>
      </c>
      <c r="AP153" s="3"/>
      <c r="AQ153" s="3">
        <v>64.05714285714285</v>
      </c>
      <c r="AR153" s="3">
        <v>64.467857142857142</v>
      </c>
      <c r="AS153" s="3">
        <v>68.460714285714275</v>
      </c>
      <c r="AT153" s="3">
        <v>78.19285714285715</v>
      </c>
      <c r="AU153" s="3">
        <v>78.31785714285715</v>
      </c>
      <c r="AV153" s="3"/>
      <c r="AW153" s="36"/>
      <c r="AX153" s="36"/>
      <c r="AY153" s="20">
        <v>43831</v>
      </c>
      <c r="AZ153">
        <v>5290.9257488691446</v>
      </c>
      <c r="BA153" s="34">
        <v>0.5</v>
      </c>
      <c r="BB153" s="26">
        <v>0.72</v>
      </c>
      <c r="BC153" s="30">
        <v>-2.2999999999999998</v>
      </c>
      <c r="BD153">
        <v>28.91</v>
      </c>
      <c r="BE153">
        <v>27.46</v>
      </c>
      <c r="BF153">
        <v>26.62</v>
      </c>
      <c r="BG153">
        <v>-1.774</v>
      </c>
      <c r="BH153">
        <v>-1.08</v>
      </c>
      <c r="BI153">
        <v>-1.87</v>
      </c>
      <c r="BJ153">
        <v>0.28999999999999998</v>
      </c>
    </row>
    <row r="154" spans="1:62" ht="15" thickBot="1">
      <c r="A154" s="20">
        <v>43525</v>
      </c>
      <c r="B154" s="3">
        <v>8.6942204301075261</v>
      </c>
      <c r="C154" s="3">
        <v>7.290322580645161</v>
      </c>
      <c r="D154" s="3">
        <v>6.2416666666666654</v>
      </c>
      <c r="E154" s="3">
        <v>4.764784946236559</v>
      </c>
      <c r="F154" s="3">
        <v>3.6626344086021505</v>
      </c>
      <c r="H154" s="6">
        <f t="shared" si="10"/>
        <v>5156.8063481609242</v>
      </c>
      <c r="I154" s="6">
        <f t="shared" si="11"/>
        <v>6.0324560911553853</v>
      </c>
      <c r="J154" s="3">
        <v>6.6143817204301056</v>
      </c>
      <c r="K154" s="3">
        <v>4.5086021505376275</v>
      </c>
      <c r="L154" s="3">
        <v>4.2251344086021438</v>
      </c>
      <c r="M154" s="3">
        <v>3.7786290322580696</v>
      </c>
      <c r="N154" s="3">
        <v>2.9232526881720431</v>
      </c>
      <c r="P154" s="3">
        <v>88.002419354838594</v>
      </c>
      <c r="Q154" s="3">
        <v>83.127956989247238</v>
      </c>
      <c r="R154" s="3">
        <v>87.402956989247357</v>
      </c>
      <c r="S154" s="3">
        <v>93.525940860214732</v>
      </c>
      <c r="T154" s="3">
        <v>94.678629032257959</v>
      </c>
      <c r="V154" s="3">
        <v>5.1579416993027503E-2</v>
      </c>
      <c r="W154" s="3">
        <v>5.1579416993027503E-2</v>
      </c>
      <c r="X154" s="3">
        <v>207.29879032258</v>
      </c>
      <c r="Y154" s="3">
        <v>201</v>
      </c>
      <c r="Z154" s="3">
        <v>8.4029569892473095</v>
      </c>
      <c r="AA154" s="3">
        <v>6.7135752688172001</v>
      </c>
      <c r="AB154" s="3"/>
      <c r="AC154" s="3">
        <v>4.741935483870968</v>
      </c>
      <c r="AD154" s="3">
        <v>4.467741935483871</v>
      </c>
      <c r="AE154" s="3">
        <v>3.6741935483870969</v>
      </c>
      <c r="AF154" s="3">
        <v>2.7419354838709675</v>
      </c>
      <c r="AG154" s="3">
        <v>1.564516129032258</v>
      </c>
      <c r="AH154" s="3"/>
      <c r="AI154" s="6">
        <f t="shared" si="12"/>
        <v>4905.8392835232899</v>
      </c>
      <c r="AJ154" s="6">
        <f t="shared" si="13"/>
        <v>4.7049689107881054</v>
      </c>
      <c r="AK154" s="3">
        <v>4.0548387096774192</v>
      </c>
      <c r="AL154" s="3">
        <v>2.7645161290322591</v>
      </c>
      <c r="AM154" s="3">
        <v>2.5741935483870968</v>
      </c>
      <c r="AN154" s="3">
        <v>2.2258064516129026</v>
      </c>
      <c r="AO154" s="3">
        <v>1.1580645161290324</v>
      </c>
      <c r="AP154" s="3"/>
      <c r="AQ154" s="3">
        <v>63.106451612903221</v>
      </c>
      <c r="AR154" s="3">
        <v>65.064516129032256</v>
      </c>
      <c r="AS154" s="3">
        <v>68.538709677419348</v>
      </c>
      <c r="AT154" s="3">
        <v>80.958064516129042</v>
      </c>
      <c r="AU154" s="3">
        <v>81.680645161290315</v>
      </c>
      <c r="AV154" s="3"/>
      <c r="AW154" s="36"/>
      <c r="AX154" s="36"/>
      <c r="AY154" s="20">
        <v>43862</v>
      </c>
      <c r="AZ154">
        <v>5384.5222385373672</v>
      </c>
      <c r="BA154" s="34">
        <v>0.48</v>
      </c>
      <c r="BB154" s="26">
        <v>0.71</v>
      </c>
      <c r="BC154" s="30">
        <v>-0.5</v>
      </c>
      <c r="BD154">
        <v>28.96</v>
      </c>
      <c r="BE154">
        <v>28.09</v>
      </c>
      <c r="BF154">
        <v>26.61</v>
      </c>
      <c r="BG154">
        <v>-1.8919999999999999</v>
      </c>
      <c r="BH154">
        <v>0.25</v>
      </c>
      <c r="BI154">
        <v>1.47</v>
      </c>
      <c r="BJ154">
        <v>1.23</v>
      </c>
    </row>
    <row r="155" spans="1:62" ht="15" thickBot="1">
      <c r="A155" s="20">
        <v>43556</v>
      </c>
      <c r="B155" s="3">
        <v>8.9152777777777779</v>
      </c>
      <c r="C155" s="3">
        <v>7.9361111111111109</v>
      </c>
      <c r="D155" s="3">
        <v>6.6245833333333319</v>
      </c>
      <c r="E155" s="3">
        <v>5.4930555555555554</v>
      </c>
      <c r="F155" s="3">
        <v>4.4026388888888874</v>
      </c>
      <c r="H155" s="6">
        <f t="shared" si="10"/>
        <v>5310.8314982693119</v>
      </c>
      <c r="I155" s="6">
        <f t="shared" si="11"/>
        <v>5.6935643402358842</v>
      </c>
      <c r="J155" s="3">
        <v>6.2395833333333321</v>
      </c>
      <c r="K155" s="3">
        <v>4.1933333333333334</v>
      </c>
      <c r="L155" s="3">
        <v>3.9027777777777777</v>
      </c>
      <c r="M155" s="3">
        <v>3.4572222222222257</v>
      </c>
      <c r="N155" s="3">
        <v>2.4606944444444436</v>
      </c>
      <c r="P155" s="3">
        <v>85.163472222222239</v>
      </c>
      <c r="Q155" s="3">
        <v>78.207222222222143</v>
      </c>
      <c r="R155" s="3">
        <v>83.713194444444369</v>
      </c>
      <c r="S155" s="3">
        <v>87.303611111111067</v>
      </c>
      <c r="T155" s="3">
        <v>87.698194444444354</v>
      </c>
      <c r="V155" s="3">
        <v>0.14274093059823501</v>
      </c>
      <c r="W155" s="3">
        <v>0.14274093059823501</v>
      </c>
      <c r="X155" s="3">
        <v>223.874305555555</v>
      </c>
      <c r="Y155" s="3">
        <v>95.4</v>
      </c>
      <c r="Z155" s="3">
        <v>8.6433333333333309</v>
      </c>
      <c r="AA155" s="3">
        <v>6.34</v>
      </c>
      <c r="AB155" s="3"/>
      <c r="AC155" s="3">
        <v>3.9</v>
      </c>
      <c r="AD155" s="3">
        <v>4.6333333333333337</v>
      </c>
      <c r="AE155" s="3">
        <v>3.3966666666666669</v>
      </c>
      <c r="AF155" s="3">
        <v>3.0833333333333335</v>
      </c>
      <c r="AG155" s="3">
        <v>1.7833333333333334</v>
      </c>
      <c r="AH155" s="3"/>
      <c r="AI155" s="6">
        <f t="shared" si="12"/>
        <v>4953.1876556922816</v>
      </c>
      <c r="AJ155" s="6">
        <f t="shared" si="13"/>
        <v>4.2715112246933753</v>
      </c>
      <c r="AK155" s="3">
        <v>3.2966666666666673</v>
      </c>
      <c r="AL155" s="3">
        <v>2.2066666666666666</v>
      </c>
      <c r="AM155" s="3">
        <v>2.0533333333333337</v>
      </c>
      <c r="AN155" s="3">
        <v>1.68</v>
      </c>
      <c r="AO155" s="3">
        <v>0.42666666666666675</v>
      </c>
      <c r="AP155" s="3"/>
      <c r="AQ155" s="3">
        <v>56.923333333333339</v>
      </c>
      <c r="AR155" s="3">
        <v>58.34</v>
      </c>
      <c r="AS155" s="3">
        <v>62.4</v>
      </c>
      <c r="AT155" s="3">
        <v>72.010000000000005</v>
      </c>
      <c r="AU155" s="3">
        <v>70.453333333333347</v>
      </c>
      <c r="AV155" s="3"/>
      <c r="AW155" s="36"/>
      <c r="AX155" s="36"/>
      <c r="AY155" s="20">
        <v>43891</v>
      </c>
      <c r="AZ155">
        <v>5281.7509608958262</v>
      </c>
      <c r="BA155" s="34">
        <v>0.4</v>
      </c>
      <c r="BB155" s="26">
        <v>0.66</v>
      </c>
      <c r="BC155" s="30">
        <v>0.2</v>
      </c>
      <c r="BD155">
        <v>29.15</v>
      </c>
      <c r="BE155">
        <v>28.44</v>
      </c>
      <c r="BF155">
        <v>25.83</v>
      </c>
      <c r="BG155">
        <v>-2.226</v>
      </c>
      <c r="BH155">
        <v>-0.61</v>
      </c>
      <c r="BI155">
        <v>0.86</v>
      </c>
      <c r="BJ155">
        <v>0.47</v>
      </c>
    </row>
    <row r="156" spans="1:62" ht="15" thickBot="1">
      <c r="A156" s="20">
        <v>43586</v>
      </c>
      <c r="B156" s="3">
        <v>9.3674242424242422</v>
      </c>
      <c r="C156" s="3">
        <v>7.97244623655914</v>
      </c>
      <c r="D156" s="3">
        <v>6.3110215053763463</v>
      </c>
      <c r="E156" s="3">
        <v>5.440188172043011</v>
      </c>
      <c r="F156" s="3">
        <v>4.334677419354839</v>
      </c>
      <c r="H156" s="6">
        <f t="shared" si="10"/>
        <v>5265.5184088840151</v>
      </c>
      <c r="I156" s="6">
        <f t="shared" si="11"/>
        <v>5.6840553669611902</v>
      </c>
      <c r="J156" s="3">
        <v>5.9401515151515172</v>
      </c>
      <c r="K156" s="3">
        <v>2.4321236559139785</v>
      </c>
      <c r="L156" s="3">
        <v>2.0557795698924739</v>
      </c>
      <c r="M156" s="3">
        <v>1.5194892473118276</v>
      </c>
      <c r="N156" s="3">
        <v>0.45161290322580533</v>
      </c>
      <c r="P156" s="3">
        <v>81.400000000000034</v>
      </c>
      <c r="Q156" s="3">
        <v>70.04758064516119</v>
      </c>
      <c r="R156" s="3">
        <v>76.420967741935542</v>
      </c>
      <c r="S156" s="3">
        <v>77.322715053763375</v>
      </c>
      <c r="T156" s="3">
        <v>77.627284946236486</v>
      </c>
      <c r="V156" s="3"/>
      <c r="W156" s="3"/>
      <c r="X156" s="3"/>
      <c r="Y156" s="3"/>
      <c r="Z156" s="3"/>
      <c r="AA156" s="3"/>
      <c r="AB156" s="3"/>
      <c r="AC156" s="3">
        <v>4.666666666666667</v>
      </c>
      <c r="AD156" s="3">
        <v>4.064516129032258</v>
      </c>
      <c r="AE156" s="3">
        <v>2.4161290322580649</v>
      </c>
      <c r="AF156" s="3">
        <v>2.6129032258064515</v>
      </c>
      <c r="AG156" s="3">
        <v>1.403225806451613</v>
      </c>
      <c r="AH156" s="3"/>
      <c r="AI156" s="6">
        <f t="shared" si="12"/>
        <v>4813.7111047673425</v>
      </c>
      <c r="AJ156" s="6">
        <f t="shared" si="13"/>
        <v>3.6954008070415556</v>
      </c>
      <c r="AK156" s="3">
        <v>3.85</v>
      </c>
      <c r="AL156" s="3">
        <v>0.43548387096774194</v>
      </c>
      <c r="AM156" s="3">
        <v>0.17419354838709672</v>
      </c>
      <c r="AN156" s="3">
        <v>-0.3612903225806452</v>
      </c>
      <c r="AO156" s="3">
        <v>-1.9903225806451617</v>
      </c>
      <c r="AP156" s="3"/>
      <c r="AQ156" s="3">
        <v>52.433333333333337</v>
      </c>
      <c r="AR156" s="3">
        <v>47.032258064516121</v>
      </c>
      <c r="AS156" s="3">
        <v>50.474193548387092</v>
      </c>
      <c r="AT156" s="3">
        <v>59.058064516129043</v>
      </c>
      <c r="AU156" s="3">
        <v>57.051612903225802</v>
      </c>
      <c r="AV156" s="3"/>
      <c r="AW156" s="36"/>
      <c r="AX156" s="36"/>
      <c r="AY156" s="20">
        <v>43922</v>
      </c>
      <c r="AZ156">
        <v>5260.1470260909055</v>
      </c>
      <c r="BA156" s="22">
        <v>0.19</v>
      </c>
      <c r="BB156" s="26">
        <v>0.54</v>
      </c>
      <c r="BC156" s="30">
        <v>-0.7</v>
      </c>
      <c r="BD156">
        <v>29.45</v>
      </c>
      <c r="BE156">
        <v>28.48</v>
      </c>
      <c r="BF156">
        <v>24.61</v>
      </c>
      <c r="BG156">
        <v>-2.5350000000000001</v>
      </c>
      <c r="BH156">
        <v>-0.28999999999999998</v>
      </c>
      <c r="BI156">
        <v>-0.11</v>
      </c>
      <c r="BJ156">
        <v>-2.62</v>
      </c>
    </row>
    <row r="157" spans="1:62" ht="15" thickBot="1">
      <c r="A157" s="20">
        <v>43617</v>
      </c>
      <c r="B157" s="3"/>
      <c r="C157" s="3">
        <v>8.313194444444445</v>
      </c>
      <c r="D157" s="3">
        <v>6.1727777777777773</v>
      </c>
      <c r="E157" s="3">
        <v>5.2131944444444445</v>
      </c>
      <c r="F157" s="3">
        <v>4.000277777777776</v>
      </c>
      <c r="H157" s="6">
        <f t="shared" si="10"/>
        <v>5084.004619134982</v>
      </c>
      <c r="I157" s="6">
        <f t="shared" si="11"/>
        <v>6.6865422434186188</v>
      </c>
      <c r="K157" s="3">
        <v>-1.2679166666666666</v>
      </c>
      <c r="L157" s="3">
        <v>-1.6259722222222206</v>
      </c>
      <c r="M157" s="3">
        <v>-2.0831944444444441</v>
      </c>
      <c r="N157" s="3">
        <v>-3.3588888888888877</v>
      </c>
      <c r="Q157" s="3">
        <v>53.85624999999996</v>
      </c>
      <c r="R157" s="3">
        <v>60.775555555555528</v>
      </c>
      <c r="S157" s="3">
        <v>61.872499999999988</v>
      </c>
      <c r="T157" s="3">
        <v>61.88972222222214</v>
      </c>
      <c r="V157" s="3"/>
      <c r="W157" s="3"/>
      <c r="X157" s="3"/>
      <c r="Y157" s="3"/>
      <c r="Z157" s="3"/>
      <c r="AA157" s="3"/>
      <c r="AB157" s="3"/>
      <c r="AC157" s="3"/>
      <c r="AD157" s="3">
        <v>4.2666666666666666</v>
      </c>
      <c r="AE157" s="3">
        <v>1.8166666666666667</v>
      </c>
      <c r="AF157" s="3">
        <v>2.15</v>
      </c>
      <c r="AG157" s="3">
        <v>0.69666666666666677</v>
      </c>
      <c r="AH157" s="3"/>
      <c r="AI157" s="6">
        <f t="shared" si="12"/>
        <v>4592.9642344048198</v>
      </c>
      <c r="AJ157" s="6">
        <f t="shared" si="13"/>
        <v>4.9004043993071065</v>
      </c>
      <c r="AK157" s="3"/>
      <c r="AL157" s="3">
        <v>-4.253333333333333</v>
      </c>
      <c r="AM157" s="3">
        <v>-4.54</v>
      </c>
      <c r="AN157" s="3">
        <v>-5.0566666666666666</v>
      </c>
      <c r="AO157" s="3">
        <v>-6.69</v>
      </c>
      <c r="AP157" s="3"/>
      <c r="AQ157" s="3"/>
      <c r="AR157" s="3">
        <v>35.870000000000005</v>
      </c>
      <c r="AS157" s="3">
        <v>38.096666666666671</v>
      </c>
      <c r="AT157" s="3">
        <v>45.68</v>
      </c>
      <c r="AU157" s="3">
        <v>43.20000000000001</v>
      </c>
      <c r="AV157" s="3"/>
      <c r="AW157" s="36"/>
      <c r="AX157" s="36"/>
      <c r="AY157" s="20">
        <v>43952</v>
      </c>
      <c r="AZ157">
        <v>5245.8104969049664</v>
      </c>
      <c r="BA157" s="22">
        <v>-0.08</v>
      </c>
      <c r="BB157" s="34">
        <v>0.45</v>
      </c>
      <c r="BC157" s="30">
        <v>-0.7</v>
      </c>
      <c r="BD157">
        <v>29.58</v>
      </c>
      <c r="BE157">
        <v>28.18</v>
      </c>
      <c r="BF157">
        <v>22.78</v>
      </c>
      <c r="BG157">
        <v>-2.75</v>
      </c>
      <c r="BH157">
        <v>0.12</v>
      </c>
      <c r="BI157">
        <v>2.21</v>
      </c>
      <c r="BJ157">
        <v>-1.0900000000000001</v>
      </c>
    </row>
    <row r="158" spans="1:62" ht="15" thickBot="1">
      <c r="A158" s="20">
        <v>43647</v>
      </c>
      <c r="B158" s="3">
        <v>7.807389937106918</v>
      </c>
      <c r="C158" s="3">
        <v>7.497983870967742</v>
      </c>
      <c r="D158" s="3">
        <v>5.4998655913978478</v>
      </c>
      <c r="E158" s="3">
        <v>4.501344086021505</v>
      </c>
      <c r="F158" s="3">
        <v>3.4418010752688177</v>
      </c>
      <c r="H158" s="6">
        <f t="shared" si="10"/>
        <v>5028.9839181435018</v>
      </c>
      <c r="I158" s="6">
        <f t="shared" si="11"/>
        <v>6.3386816615277795</v>
      </c>
      <c r="J158" s="3">
        <v>0.78742138364779912</v>
      </c>
      <c r="K158" s="3">
        <v>-1.4602150537634404</v>
      </c>
      <c r="L158" s="3">
        <v>-1.787903225806452</v>
      </c>
      <c r="M158" s="3">
        <v>-2.1368279569892454</v>
      </c>
      <c r="N158" s="3">
        <v>-3.1732526881720386</v>
      </c>
      <c r="P158" s="3">
        <v>65.837893081760924</v>
      </c>
      <c r="Q158" s="3">
        <v>56.143548387096679</v>
      </c>
      <c r="R158" s="3">
        <v>62.798118279569884</v>
      </c>
      <c r="S158" s="3">
        <v>64.795833333333277</v>
      </c>
      <c r="T158" s="3">
        <v>65.168951612903257</v>
      </c>
      <c r="V158" s="3"/>
      <c r="W158" s="3"/>
      <c r="X158" s="3"/>
      <c r="Y158" s="3"/>
      <c r="Z158" s="3"/>
      <c r="AA158" s="3"/>
      <c r="AB158" s="3"/>
      <c r="AC158" s="3">
        <v>1.4814814814814814</v>
      </c>
      <c r="AD158" s="3">
        <v>3.3870967741935485</v>
      </c>
      <c r="AE158" s="3">
        <v>1.0161290322580645</v>
      </c>
      <c r="AF158" s="3">
        <v>1.4516129032258065</v>
      </c>
      <c r="AG158" s="3">
        <v>0.15483870967741936</v>
      </c>
      <c r="AH158" s="3"/>
      <c r="AI158" s="6">
        <f t="shared" si="12"/>
        <v>4493.6637757168564</v>
      </c>
      <c r="AJ158" s="6">
        <f t="shared" si="13"/>
        <v>4.3550639605103116</v>
      </c>
      <c r="AK158" s="3">
        <v>-1.5962962962962961</v>
      </c>
      <c r="AL158" s="3">
        <v>-4.0032258064516126</v>
      </c>
      <c r="AM158" s="3">
        <v>-4.274193548387097</v>
      </c>
      <c r="AN158" s="3">
        <v>-4.854838709677419</v>
      </c>
      <c r="AO158" s="3">
        <v>-6.5935483870967753</v>
      </c>
      <c r="AP158" s="3"/>
      <c r="AQ158" s="3">
        <v>36.444444444444443</v>
      </c>
      <c r="AR158" s="3">
        <v>35.932258064516134</v>
      </c>
      <c r="AS158" s="3">
        <v>38.58064516129032</v>
      </c>
      <c r="AT158" s="3">
        <v>45.393548387096772</v>
      </c>
      <c r="AU158" s="3">
        <v>45.429032258064503</v>
      </c>
      <c r="AV158" s="3"/>
      <c r="AY158" s="20">
        <v>43983</v>
      </c>
      <c r="AZ158">
        <v>5160.1685532257379</v>
      </c>
      <c r="BA158" s="22">
        <v>-0.3</v>
      </c>
      <c r="BB158" s="22">
        <v>0.28000000000000003</v>
      </c>
      <c r="BC158" s="30">
        <v>-0.6</v>
      </c>
      <c r="BD158">
        <v>29.66</v>
      </c>
      <c r="BE158">
        <v>27.64</v>
      </c>
      <c r="BF158">
        <v>21.27</v>
      </c>
      <c r="BG158">
        <v>-3.0449999999999999</v>
      </c>
      <c r="BH158">
        <v>1.1100000000000001</v>
      </c>
      <c r="BI158">
        <v>-2.2000000000000002</v>
      </c>
      <c r="BJ158">
        <v>-1.43</v>
      </c>
    </row>
    <row r="159" spans="1:62" ht="15" thickBot="1">
      <c r="A159" s="20">
        <v>43678</v>
      </c>
      <c r="B159" s="3">
        <v>8.865591397849462</v>
      </c>
      <c r="C159" s="3">
        <v>8.3178763440860219</v>
      </c>
      <c r="D159" s="3">
        <v>6.2311827956989214</v>
      </c>
      <c r="E159" s="3">
        <v>5.030913978494624</v>
      </c>
      <c r="F159" s="3">
        <v>3.8822580645161255</v>
      </c>
      <c r="H159" s="6">
        <f t="shared" si="10"/>
        <v>5049.489175298253</v>
      </c>
      <c r="I159" s="6">
        <f t="shared" si="11"/>
        <v>6.9955751491431251</v>
      </c>
      <c r="J159" s="3">
        <v>-2.0072580645161269</v>
      </c>
      <c r="K159" s="3">
        <v>-4.80631720430108</v>
      </c>
      <c r="L159" s="3">
        <v>-5.0223118279569929</v>
      </c>
      <c r="M159" s="3">
        <v>-5.2346774193548349</v>
      </c>
      <c r="N159" s="3">
        <v>-6.3169354838709664</v>
      </c>
      <c r="P159" s="3">
        <v>50.361559139784895</v>
      </c>
      <c r="Q159" s="3">
        <v>42.475537634408653</v>
      </c>
      <c r="R159" s="3">
        <v>48.364247311827967</v>
      </c>
      <c r="S159" s="3">
        <v>51.371774193548376</v>
      </c>
      <c r="T159" s="3">
        <v>52.088037634408551</v>
      </c>
      <c r="V159" s="3"/>
      <c r="W159" s="3"/>
      <c r="X159" s="3"/>
      <c r="Y159" s="3"/>
      <c r="Z159" s="3"/>
      <c r="AA159" s="3"/>
      <c r="AB159" s="3"/>
      <c r="AC159" s="3">
        <v>1.3064516129032258</v>
      </c>
      <c r="AD159" s="3">
        <v>4.0161290322580649</v>
      </c>
      <c r="AE159" s="3">
        <v>1.5483870967741935</v>
      </c>
      <c r="AF159" s="3">
        <v>1.3064516129032258</v>
      </c>
      <c r="AG159" s="3">
        <v>6.4516129032258063E-2</v>
      </c>
      <c r="AH159" s="3"/>
      <c r="AI159" s="6">
        <f t="shared" si="12"/>
        <v>4503.8628718046184</v>
      </c>
      <c r="AJ159" s="6">
        <f t="shared" si="13"/>
        <v>5.7567677149053846</v>
      </c>
      <c r="AK159" s="3">
        <v>-4.8419354838709667</v>
      </c>
      <c r="AL159" s="3">
        <v>-8.3225806451612865</v>
      </c>
      <c r="AM159" s="3">
        <v>-8.2451612903225779</v>
      </c>
      <c r="AN159" s="3">
        <v>-8.7161290322580633</v>
      </c>
      <c r="AO159" s="3">
        <v>-10.703225806451613</v>
      </c>
      <c r="AP159" s="3"/>
      <c r="AQ159" s="3">
        <v>25.635483870967743</v>
      </c>
      <c r="AR159" s="3">
        <v>25.158064516129034</v>
      </c>
      <c r="AS159" s="3">
        <v>27.683870967741932</v>
      </c>
      <c r="AT159" s="3">
        <v>32.529032258064518</v>
      </c>
      <c r="AU159" s="3">
        <v>31.954838709677425</v>
      </c>
      <c r="AV159" s="3"/>
      <c r="AY159" s="20">
        <v>44013</v>
      </c>
      <c r="AZ159">
        <v>5121.7454184295621</v>
      </c>
      <c r="BA159" s="22">
        <v>-0.41</v>
      </c>
      <c r="BB159" s="22">
        <v>0.14000000000000001</v>
      </c>
      <c r="BC159" s="30">
        <v>-0.2</v>
      </c>
      <c r="BD159">
        <v>29.44</v>
      </c>
      <c r="BE159">
        <v>26.9</v>
      </c>
      <c r="BF159">
        <v>20.239999999999998</v>
      </c>
      <c r="BG159">
        <v>-3.3439999999999999</v>
      </c>
      <c r="BH159">
        <v>1.18</v>
      </c>
      <c r="BI159">
        <v>-2.04</v>
      </c>
      <c r="BJ159">
        <v>-1.17</v>
      </c>
    </row>
    <row r="160" spans="1:62" ht="15" thickBot="1">
      <c r="A160" s="20">
        <v>43709</v>
      </c>
      <c r="B160" s="3">
        <v>8.6965277777777779</v>
      </c>
      <c r="C160" s="3">
        <v>7.8979166666666663</v>
      </c>
      <c r="D160" s="3">
        <v>6.100694444444442</v>
      </c>
      <c r="E160" s="3">
        <v>4.9361111111111109</v>
      </c>
      <c r="F160" s="3">
        <v>3.780416666666667</v>
      </c>
      <c r="H160" s="6">
        <f t="shared" si="10"/>
        <v>5091.4971120783121</v>
      </c>
      <c r="I160" s="6">
        <f t="shared" si="11"/>
        <v>6.5320931912921649</v>
      </c>
      <c r="J160" s="3">
        <v>1.9850000000000001</v>
      </c>
      <c r="K160" s="3">
        <v>0.27791666666666687</v>
      </c>
      <c r="L160" s="3">
        <v>-6.4027777777778239E-2</v>
      </c>
      <c r="M160" s="3">
        <v>-0.34458333333333357</v>
      </c>
      <c r="N160" s="3">
        <v>-1.1231944444444442</v>
      </c>
      <c r="P160" s="3">
        <v>66.766527777777824</v>
      </c>
      <c r="Q160" s="3">
        <v>61.403611111111069</v>
      </c>
      <c r="R160" s="3">
        <v>67.58291666666679</v>
      </c>
      <c r="S160" s="3">
        <v>70.926666666666719</v>
      </c>
      <c r="T160" s="3">
        <v>72.659861111111056</v>
      </c>
      <c r="V160" s="3"/>
      <c r="W160" s="3"/>
      <c r="X160" s="3"/>
      <c r="Y160" s="3"/>
      <c r="Z160" s="3"/>
      <c r="AA160" s="3"/>
      <c r="AB160" s="3"/>
      <c r="AC160" s="3">
        <v>2.3666666666666667</v>
      </c>
      <c r="AD160" s="3">
        <v>4.05</v>
      </c>
      <c r="AE160" s="3">
        <v>2.0833333333333335</v>
      </c>
      <c r="AF160" s="3">
        <v>1.75</v>
      </c>
      <c r="AG160" s="3">
        <v>0.6333333333333333</v>
      </c>
      <c r="AH160" s="3"/>
      <c r="AI160" s="6">
        <f t="shared" si="12"/>
        <v>4621.1396782198035</v>
      </c>
      <c r="AJ160" s="6">
        <f t="shared" si="13"/>
        <v>5.0556246971755385</v>
      </c>
      <c r="AK160" s="3">
        <v>-0.37666666666666682</v>
      </c>
      <c r="AL160" s="3">
        <v>-2.1133333333333328</v>
      </c>
      <c r="AM160" s="3">
        <v>-2.2133333333333329</v>
      </c>
      <c r="AN160" s="3">
        <v>-2.5733333333333328</v>
      </c>
      <c r="AO160" s="3">
        <v>-3.5866666666666669</v>
      </c>
      <c r="AP160" s="3"/>
      <c r="AQ160" s="3">
        <v>37.56666666666667</v>
      </c>
      <c r="AR160" s="3">
        <v>39.156666666666666</v>
      </c>
      <c r="AS160" s="3">
        <v>42.833333333333336</v>
      </c>
      <c r="AT160" s="3">
        <v>49.763333333333335</v>
      </c>
      <c r="AU160" s="3">
        <v>50.616666666666667</v>
      </c>
      <c r="AV160" s="3"/>
      <c r="AY160" s="20">
        <v>44044</v>
      </c>
      <c r="AZ160">
        <v>5193.0317081696612</v>
      </c>
      <c r="BA160" s="37">
        <v>-0.56999999999999995</v>
      </c>
      <c r="BB160" s="22">
        <v>0.19</v>
      </c>
      <c r="BC160" s="30">
        <v>-1.9</v>
      </c>
      <c r="BD160">
        <v>29.34</v>
      </c>
      <c r="BE160">
        <v>26.75</v>
      </c>
      <c r="BF160">
        <v>20.010000000000002</v>
      </c>
      <c r="BG160">
        <v>-3.286</v>
      </c>
      <c r="BH160">
        <v>2</v>
      </c>
      <c r="BI160">
        <v>0.81</v>
      </c>
      <c r="BJ160">
        <v>-0.16</v>
      </c>
    </row>
    <row r="161" spans="1:62" ht="15" thickBot="1">
      <c r="A161" s="20">
        <v>43739</v>
      </c>
      <c r="B161" s="3">
        <v>7.8501344086021509</v>
      </c>
      <c r="C161" s="3">
        <v>6.98991935483871</v>
      </c>
      <c r="D161" s="3">
        <v>5.6184139784946225</v>
      </c>
      <c r="E161" s="3">
        <v>4.393145161290323</v>
      </c>
      <c r="F161" s="3">
        <v>3.3942204301075276</v>
      </c>
      <c r="H161" s="6">
        <f t="shared" si="10"/>
        <v>5110.8963110976556</v>
      </c>
      <c r="I161" s="6">
        <f t="shared" si="11"/>
        <v>5.828020529391555</v>
      </c>
      <c r="J161" s="3">
        <v>4.3961021505376303</v>
      </c>
      <c r="K161" s="3">
        <v>2.8103494623655898</v>
      </c>
      <c r="L161" s="3">
        <v>2.26451612903226</v>
      </c>
      <c r="M161" s="3">
        <v>1.4184139784946237</v>
      </c>
      <c r="N161" s="3">
        <v>0.52338709677419348</v>
      </c>
      <c r="P161" s="3">
        <v>81.82284946236571</v>
      </c>
      <c r="Q161" s="3">
        <v>77.433870967741882</v>
      </c>
      <c r="R161" s="3">
        <v>81.120161290322656</v>
      </c>
      <c r="S161" s="3">
        <v>82.44650537634422</v>
      </c>
      <c r="T161" s="3">
        <v>82.78588709677436</v>
      </c>
      <c r="V161" s="3"/>
      <c r="W161" s="3"/>
      <c r="X161" s="3"/>
      <c r="Y161" s="3"/>
      <c r="Z161" s="3"/>
      <c r="AA161" s="3"/>
      <c r="AB161" s="3"/>
      <c r="AC161" s="3">
        <v>2.7419354838709675</v>
      </c>
      <c r="AD161" s="3">
        <v>3.5806451612903225</v>
      </c>
      <c r="AE161" s="3">
        <v>2.2096774193548385</v>
      </c>
      <c r="AF161" s="3">
        <v>1.6290322580645162</v>
      </c>
      <c r="AG161" s="3">
        <v>0.63870967741935492</v>
      </c>
      <c r="AH161" s="3"/>
      <c r="AI161" s="6">
        <f t="shared" si="12"/>
        <v>4672.0190298310426</v>
      </c>
      <c r="AJ161" s="6">
        <f t="shared" si="13"/>
        <v>4.5315104462755311</v>
      </c>
      <c r="AK161" s="3">
        <v>2.0419354838709678</v>
      </c>
      <c r="AL161" s="3">
        <v>0.76451612903225818</v>
      </c>
      <c r="AM161" s="3">
        <v>0.33870967741935476</v>
      </c>
      <c r="AN161" s="3">
        <v>-0.43225806451612914</v>
      </c>
      <c r="AO161" s="3">
        <v>-1.7548387096774198</v>
      </c>
      <c r="AP161" s="3"/>
      <c r="AQ161" s="3">
        <v>50.058064516129036</v>
      </c>
      <c r="AR161" s="3">
        <v>51.412903225806453</v>
      </c>
      <c r="AS161" s="3">
        <v>55.222580645161294</v>
      </c>
      <c r="AT161" s="3">
        <v>62.838709677419352</v>
      </c>
      <c r="AU161" s="3">
        <v>63.577419354838696</v>
      </c>
      <c r="AV161" s="3"/>
      <c r="AY161" s="20">
        <v>44075</v>
      </c>
      <c r="AZ161">
        <v>5126.6861542319402</v>
      </c>
      <c r="BA161" s="37">
        <v>-0.89</v>
      </c>
      <c r="BB161" s="22">
        <v>0.35</v>
      </c>
      <c r="BC161" s="30">
        <v>-0.6</v>
      </c>
      <c r="BD161">
        <v>29.51</v>
      </c>
      <c r="BE161">
        <v>27.2</v>
      </c>
      <c r="BF161">
        <v>20.27</v>
      </c>
      <c r="BG161">
        <v>-3.0009999999999999</v>
      </c>
      <c r="BH161">
        <v>-1.02</v>
      </c>
      <c r="BI161">
        <v>-1.97</v>
      </c>
      <c r="BJ161">
        <v>-1.41</v>
      </c>
    </row>
    <row r="162" spans="1:62" ht="15" thickBot="1">
      <c r="A162" s="20">
        <v>43770</v>
      </c>
      <c r="B162" s="3">
        <v>8.3152777777777782</v>
      </c>
      <c r="C162" s="3">
        <v>7.3319444444444448</v>
      </c>
      <c r="D162" s="3">
        <v>6.0073611111111074</v>
      </c>
      <c r="E162" s="3">
        <v>4.8666666666666663</v>
      </c>
      <c r="F162" s="3">
        <v>3.9083333333333328</v>
      </c>
      <c r="H162" s="6">
        <f t="shared" si="10"/>
        <v>5232.1713084463954</v>
      </c>
      <c r="I162" s="6">
        <f t="shared" si="11"/>
        <v>5.5342245740928986</v>
      </c>
      <c r="J162" s="3">
        <v>5.5687500000000023</v>
      </c>
      <c r="K162" s="3">
        <v>4.1080555555555529</v>
      </c>
      <c r="L162" s="3">
        <v>3.5291666666666672</v>
      </c>
      <c r="M162" s="3">
        <v>2.5595833333333333</v>
      </c>
      <c r="N162" s="3">
        <v>1.7284722222222242</v>
      </c>
      <c r="P162" s="3">
        <v>85.071111111111222</v>
      </c>
      <c r="Q162" s="3">
        <v>81.710277777777847</v>
      </c>
      <c r="R162" s="3">
        <v>85.460833333333412</v>
      </c>
      <c r="S162" s="3">
        <v>85.903333333333521</v>
      </c>
      <c r="T162" s="3">
        <v>86.328333333333433</v>
      </c>
      <c r="V162" s="3"/>
      <c r="W162" s="3"/>
      <c r="X162" s="3"/>
      <c r="Y162" s="3"/>
      <c r="Z162" s="3"/>
      <c r="AA162" s="3"/>
      <c r="AB162" s="3"/>
      <c r="AC162" s="3">
        <v>3.55</v>
      </c>
      <c r="AD162" s="3">
        <v>3.9833333333333334</v>
      </c>
      <c r="AE162" s="3">
        <v>2.65</v>
      </c>
      <c r="AF162" s="3">
        <v>2.25</v>
      </c>
      <c r="AG162" s="3">
        <v>1.25</v>
      </c>
      <c r="AH162" s="3"/>
      <c r="AI162" s="6">
        <f t="shared" si="12"/>
        <v>4821.6363110725642</v>
      </c>
      <c r="AJ162" s="6">
        <f t="shared" si="13"/>
        <v>4.1339299568999648</v>
      </c>
      <c r="AK162" s="3">
        <v>3.0066666666666677</v>
      </c>
      <c r="AL162" s="3">
        <v>2.2100000000000004</v>
      </c>
      <c r="AM162" s="3">
        <v>1.5433333333333332</v>
      </c>
      <c r="AN162" s="3">
        <v>0.3</v>
      </c>
      <c r="AO162" s="3">
        <v>-0.93333333333333335</v>
      </c>
      <c r="AP162" s="3"/>
      <c r="AQ162" s="3">
        <v>54.350000000000009</v>
      </c>
      <c r="AR162" s="3">
        <v>57.250000000000007</v>
      </c>
      <c r="AS162" s="3">
        <v>61.433333333333316</v>
      </c>
      <c r="AT162" s="3">
        <v>68.206666666666663</v>
      </c>
      <c r="AU162" s="3">
        <v>67.150000000000006</v>
      </c>
      <c r="AV162" s="3"/>
      <c r="AY162" s="20">
        <v>44105</v>
      </c>
      <c r="AZ162">
        <v>5105.4277685101915</v>
      </c>
      <c r="BA162" s="38">
        <v>-1.17</v>
      </c>
      <c r="BB162" s="26">
        <v>0.51</v>
      </c>
      <c r="BC162" s="30">
        <v>-1.4</v>
      </c>
      <c r="BD162">
        <v>29.46</v>
      </c>
      <c r="BE162">
        <v>27.22</v>
      </c>
      <c r="BF162">
        <v>21.55</v>
      </c>
      <c r="BG162">
        <v>-2.8570000000000002</v>
      </c>
      <c r="BH162">
        <v>-0.06</v>
      </c>
      <c r="BI162">
        <v>-4.42</v>
      </c>
      <c r="BJ162">
        <v>0.28000000000000003</v>
      </c>
    </row>
    <row r="163" spans="1:62" ht="15" thickBot="1">
      <c r="A163" s="20">
        <v>43800</v>
      </c>
      <c r="B163" s="3">
        <v>7.833333333333333</v>
      </c>
      <c r="C163" s="3">
        <v>7.008064516129032</v>
      </c>
      <c r="D163" s="3">
        <v>5.9794354838709678</v>
      </c>
      <c r="E163" s="3">
        <v>4.683467741935484</v>
      </c>
      <c r="F163" s="3">
        <v>3.7200268817204285</v>
      </c>
      <c r="H163" s="6">
        <f t="shared" si="10"/>
        <v>5228.2618162571443</v>
      </c>
      <c r="I163" s="6">
        <f t="shared" si="11"/>
        <v>5.4389284465446082</v>
      </c>
      <c r="J163" s="3">
        <v>6.5928763440860099</v>
      </c>
      <c r="K163" s="3">
        <v>5.5700268817204295</v>
      </c>
      <c r="L163" s="3">
        <v>4.9172043010752731</v>
      </c>
      <c r="M163" s="3">
        <v>3.7543010752688195</v>
      </c>
      <c r="N163" s="3">
        <v>2.9591397849462378</v>
      </c>
      <c r="P163" s="3">
        <v>92.780913978494723</v>
      </c>
      <c r="Q163" s="3">
        <v>90.992741935483807</v>
      </c>
      <c r="R163" s="3">
        <v>92.907661290322579</v>
      </c>
      <c r="S163" s="3">
        <v>93.672580645161347</v>
      </c>
      <c r="T163" s="3">
        <v>94.201344086021535</v>
      </c>
      <c r="V163" s="3"/>
      <c r="W163" s="3"/>
      <c r="X163" s="3"/>
      <c r="Y163" s="3"/>
      <c r="Z163" s="3"/>
      <c r="AA163" s="3"/>
      <c r="AB163" s="3"/>
      <c r="AC163" s="3">
        <v>4.32258064516129</v>
      </c>
      <c r="AD163" s="3">
        <v>4.258064516129032</v>
      </c>
      <c r="AE163" s="3">
        <v>3.3290322580645162</v>
      </c>
      <c r="AF163" s="3">
        <v>2.532258064516129</v>
      </c>
      <c r="AG163" s="3">
        <v>1.4580645161290324</v>
      </c>
      <c r="AH163" s="3"/>
      <c r="AI163" s="6">
        <f t="shared" si="12"/>
        <v>4890.0866244279969</v>
      </c>
      <c r="AJ163" s="6">
        <f t="shared" si="13"/>
        <v>4.470891922811596</v>
      </c>
      <c r="AK163" s="3">
        <v>4.1903225806451623</v>
      </c>
      <c r="AL163" s="3">
        <v>3.9709677419354845</v>
      </c>
      <c r="AM163" s="3">
        <v>3.2838709677419349</v>
      </c>
      <c r="AN163" s="3">
        <v>2.1580645161290319</v>
      </c>
      <c r="AO163" s="3">
        <v>1.0709677419354837</v>
      </c>
      <c r="AP163" s="3"/>
      <c r="AQ163" s="3">
        <v>70.016129032258078</v>
      </c>
      <c r="AR163" s="3">
        <v>69.729032258064507</v>
      </c>
      <c r="AS163" s="3">
        <v>72.554838709677412</v>
      </c>
      <c r="AT163" s="3">
        <v>79.745161290322571</v>
      </c>
      <c r="AU163" s="3">
        <v>79.683870967741925</v>
      </c>
      <c r="AV163" s="3"/>
      <c r="AY163" s="20">
        <v>44136</v>
      </c>
      <c r="AZ163">
        <v>5300.2396002923306</v>
      </c>
      <c r="BA163" s="38">
        <v>-1.27</v>
      </c>
      <c r="BB163" s="26">
        <v>0.55000000000000004</v>
      </c>
      <c r="BC163" s="30">
        <v>-0.9</v>
      </c>
      <c r="BD163">
        <v>29.41</v>
      </c>
      <c r="BE163">
        <v>27.12</v>
      </c>
      <c r="BF163">
        <v>22.77</v>
      </c>
      <c r="BG163">
        <v>-2.5489999999999999</v>
      </c>
      <c r="BH163">
        <v>0.18</v>
      </c>
      <c r="BI163">
        <v>-1.78</v>
      </c>
      <c r="BJ163">
        <v>1.2</v>
      </c>
    </row>
    <row r="164" spans="1:62" ht="15" thickBot="1">
      <c r="A164" s="20">
        <v>43831</v>
      </c>
      <c r="B164" s="3">
        <v>8.7748655913978499</v>
      </c>
      <c r="C164" s="3">
        <v>7.788306451612903</v>
      </c>
      <c r="D164" s="3">
        <v>6.3803763440860193</v>
      </c>
      <c r="E164" s="3">
        <v>5.305779569892473</v>
      </c>
      <c r="F164" s="3">
        <v>4.2981182795698887</v>
      </c>
      <c r="H164" s="6">
        <f t="shared" si="10"/>
        <v>5290.9257488691446</v>
      </c>
      <c r="I164" s="6">
        <f t="shared" si="11"/>
        <v>5.5917778644729621</v>
      </c>
      <c r="J164" s="3">
        <v>5.7572580645161233</v>
      </c>
      <c r="K164" s="3">
        <v>4.4233870967741984</v>
      </c>
      <c r="L164" s="3">
        <v>3.8514784946236564</v>
      </c>
      <c r="M164" s="3">
        <v>2.9353494623655947</v>
      </c>
      <c r="N164" s="3">
        <v>2.0112903225806491</v>
      </c>
      <c r="P164" s="3">
        <v>84.01344086021524</v>
      </c>
      <c r="Q164" s="3">
        <v>81.214112903225768</v>
      </c>
      <c r="R164" s="3">
        <v>85.272580645161398</v>
      </c>
      <c r="S164" s="3">
        <v>85.961155913978615</v>
      </c>
      <c r="T164" s="3">
        <v>86.109139784946365</v>
      </c>
      <c r="V164" s="3"/>
      <c r="W164" s="3"/>
      <c r="X164" s="3"/>
      <c r="Y164" s="3"/>
      <c r="Z164" s="3"/>
      <c r="AA164" s="3"/>
      <c r="AB164" s="3"/>
      <c r="AC164" s="3">
        <v>4.209677419354839</v>
      </c>
      <c r="AD164" s="3">
        <v>4.4838709677419351</v>
      </c>
      <c r="AE164" s="3">
        <v>3.1709677419354843</v>
      </c>
      <c r="AF164" s="3">
        <v>2.5806451612903225</v>
      </c>
      <c r="AG164" s="3">
        <v>1.5290322580645164</v>
      </c>
      <c r="AH164" s="3"/>
      <c r="AI164" s="6">
        <f t="shared" si="12"/>
        <v>4867.697120031331</v>
      </c>
      <c r="AJ164" s="6">
        <f t="shared" si="13"/>
        <v>4.5607930545514614</v>
      </c>
      <c r="AK164" s="3">
        <v>3.3580645161290321</v>
      </c>
      <c r="AL164" s="3">
        <v>2.5032258064516126</v>
      </c>
      <c r="AM164" s="3">
        <v>2.0419354838709678</v>
      </c>
      <c r="AN164" s="3">
        <v>0.96129032258064506</v>
      </c>
      <c r="AO164" s="3">
        <v>-0.21290322580645177</v>
      </c>
      <c r="AP164" s="3"/>
      <c r="AQ164" s="3">
        <v>58.570967741935469</v>
      </c>
      <c r="AR164" s="3">
        <v>58.503225806451617</v>
      </c>
      <c r="AS164" s="3">
        <v>63.50967741935483</v>
      </c>
      <c r="AT164" s="3">
        <v>68.577419354838725</v>
      </c>
      <c r="AU164" s="3">
        <v>67.016129032258064</v>
      </c>
      <c r="AV164" s="3"/>
      <c r="AY164" s="20">
        <v>44166</v>
      </c>
      <c r="AZ164">
        <v>5158.3278591993285</v>
      </c>
      <c r="BA164" s="38">
        <v>-1.19</v>
      </c>
      <c r="BB164" s="34">
        <v>0.5</v>
      </c>
      <c r="BC164" s="30">
        <v>0.3</v>
      </c>
      <c r="BD164" s="39"/>
      <c r="BE164" s="39"/>
      <c r="BF164" s="39"/>
      <c r="BG164" s="39"/>
      <c r="BH164" s="39"/>
      <c r="BI164">
        <v>0.56999999999999995</v>
      </c>
    </row>
    <row r="165" spans="1:62" ht="15" thickBot="1">
      <c r="A165" s="20">
        <v>43862</v>
      </c>
      <c r="B165" s="3">
        <v>9.2219827586206904</v>
      </c>
      <c r="C165" s="3">
        <v>8.0567528735632177</v>
      </c>
      <c r="D165" s="3">
        <v>6.8405172413793105</v>
      </c>
      <c r="E165" s="3">
        <v>5.6099137931034484</v>
      </c>
      <c r="F165" s="3">
        <v>4.7031609195402249</v>
      </c>
      <c r="H165" s="6">
        <f t="shared" si="10"/>
        <v>5384.5222385373672</v>
      </c>
      <c r="I165" s="6">
        <f t="shared" si="11"/>
        <v>5.4859289068355048</v>
      </c>
      <c r="J165" s="3">
        <v>6.8827586206896507</v>
      </c>
      <c r="K165" s="3">
        <v>5.5660919540229923</v>
      </c>
      <c r="L165" s="3">
        <v>4.9692528735632209</v>
      </c>
      <c r="M165" s="3">
        <v>3.963936781609195</v>
      </c>
      <c r="N165" s="3">
        <v>3.0913793103448319</v>
      </c>
      <c r="P165" s="3">
        <v>87.217528735632442</v>
      </c>
      <c r="Q165" s="3">
        <v>85.522270114942543</v>
      </c>
      <c r="R165" s="3">
        <v>88.634626436781758</v>
      </c>
      <c r="S165" s="3">
        <v>89.663793103448441</v>
      </c>
      <c r="T165" s="3">
        <v>89.584482758620751</v>
      </c>
      <c r="V165" s="3"/>
      <c r="W165" s="3"/>
      <c r="X165" s="3"/>
      <c r="Y165" s="3"/>
      <c r="Z165" s="3"/>
      <c r="AA165" s="3"/>
      <c r="AB165" s="3"/>
      <c r="AC165" s="3">
        <v>5.1206896551724137</v>
      </c>
      <c r="AD165" s="3">
        <v>4.9482758620689653</v>
      </c>
      <c r="AE165" s="3">
        <v>3.9931034482758623</v>
      </c>
      <c r="AF165" s="3">
        <v>3.0689655172413794</v>
      </c>
      <c r="AG165" s="3">
        <v>2.103448275862069</v>
      </c>
      <c r="AH165" s="3"/>
      <c r="AI165" s="6">
        <f t="shared" si="12"/>
        <v>5011.7466029462284</v>
      </c>
      <c r="AJ165" s="6">
        <f t="shared" si="13"/>
        <v>4.5997049642081551</v>
      </c>
      <c r="AK165" s="3">
        <v>4.7517241379310367</v>
      </c>
      <c r="AL165" s="3">
        <v>3.8896551724137933</v>
      </c>
      <c r="AM165" s="3">
        <v>3.3413793103448288</v>
      </c>
      <c r="AN165" s="3">
        <v>2.1965517241379313</v>
      </c>
      <c r="AO165" s="3">
        <v>1.1172413793103448</v>
      </c>
      <c r="AP165" s="3"/>
      <c r="AQ165" s="3">
        <v>60.117241379310343</v>
      </c>
      <c r="AR165" s="3">
        <v>62.093103448275855</v>
      </c>
      <c r="AS165" s="3">
        <v>66.431034482758619</v>
      </c>
      <c r="AT165" s="3">
        <v>73.279310344827564</v>
      </c>
      <c r="AU165" s="3">
        <v>72.282758620689648</v>
      </c>
      <c r="AV165" s="3"/>
      <c r="AY165" s="20">
        <v>44197</v>
      </c>
      <c r="AZ165">
        <v>5104.0562694596747</v>
      </c>
      <c r="BA165" s="38">
        <v>-1.05</v>
      </c>
      <c r="BB165" s="34">
        <v>0.48</v>
      </c>
      <c r="BC165" s="30">
        <v>-0.1</v>
      </c>
      <c r="BD165" s="39"/>
      <c r="BE165" s="39"/>
      <c r="BF165" s="39"/>
      <c r="BG165" s="39"/>
      <c r="BH165" s="39"/>
      <c r="BI165">
        <v>-0.36</v>
      </c>
    </row>
    <row r="166" spans="1:62" ht="15" thickBot="1">
      <c r="A166" s="20">
        <v>43891</v>
      </c>
      <c r="B166" s="3">
        <v>8.571908602150538</v>
      </c>
      <c r="C166" s="3">
        <v>7.508736559139785</v>
      </c>
      <c r="D166" s="3">
        <v>6.3596774193548358</v>
      </c>
      <c r="E166" s="3">
        <v>5.069220430107527</v>
      </c>
      <c r="F166" s="3">
        <v>4.1423387096774178</v>
      </c>
      <c r="H166" s="6">
        <f t="shared" si="10"/>
        <v>5281.7509608958262</v>
      </c>
      <c r="I166" s="6">
        <f t="shared" si="11"/>
        <v>5.541392675333257</v>
      </c>
      <c r="J166" s="3">
        <v>6.4141129032258126</v>
      </c>
      <c r="K166" s="3">
        <v>5.0219086021505381</v>
      </c>
      <c r="L166" s="3">
        <v>4.4141129032258055</v>
      </c>
      <c r="M166" s="3">
        <v>3.3115591397849489</v>
      </c>
      <c r="N166" s="3">
        <v>2.3838709677419399</v>
      </c>
      <c r="P166" s="3">
        <v>88.131720430107606</v>
      </c>
      <c r="Q166" s="3">
        <v>85.70806451612907</v>
      </c>
      <c r="R166" s="3">
        <v>88.360080645161361</v>
      </c>
      <c r="S166" s="3">
        <v>89.034946236559193</v>
      </c>
      <c r="T166" s="3">
        <v>88.818817204301126</v>
      </c>
      <c r="V166" s="3"/>
      <c r="W166" s="3"/>
      <c r="X166" s="3"/>
      <c r="Y166" s="3"/>
      <c r="Z166" s="3"/>
      <c r="AA166" s="3"/>
      <c r="AB166" s="3"/>
      <c r="AC166" s="3">
        <v>4.112903225806452</v>
      </c>
      <c r="AD166" s="3">
        <v>4.193548387096774</v>
      </c>
      <c r="AE166" s="3">
        <v>3.2096774193548385</v>
      </c>
      <c r="AF166" s="3">
        <v>2.5161290322580645</v>
      </c>
      <c r="AG166" s="3">
        <v>1.5806451612903225</v>
      </c>
      <c r="AH166" s="3"/>
      <c r="AI166" s="6">
        <f t="shared" si="12"/>
        <v>4932.972292908622</v>
      </c>
      <c r="AJ166" s="6">
        <f t="shared" si="13"/>
        <v>4.1361875729575184</v>
      </c>
      <c r="AK166" s="3">
        <v>3.7870967741935497</v>
      </c>
      <c r="AL166" s="3">
        <v>3.2451612903225806</v>
      </c>
      <c r="AM166" s="3">
        <v>2.6709677419354847</v>
      </c>
      <c r="AN166" s="3">
        <v>1.4645161290322577</v>
      </c>
      <c r="AO166" s="3">
        <v>0.25483870967741923</v>
      </c>
      <c r="AP166" s="3"/>
      <c r="AQ166" s="3">
        <v>60.587096774193547</v>
      </c>
      <c r="AR166" s="3">
        <v>60.822580645161295</v>
      </c>
      <c r="AS166" s="3">
        <v>63.974193548387099</v>
      </c>
      <c r="AT166" s="3">
        <v>71.451612903225808</v>
      </c>
      <c r="AU166" s="3">
        <v>69.822580645161295</v>
      </c>
      <c r="AV166" s="3"/>
      <c r="AY166" s="20">
        <v>44228</v>
      </c>
      <c r="AZ166">
        <v>5262.2852006085341</v>
      </c>
      <c r="BA166" s="38">
        <v>-0.93</v>
      </c>
      <c r="BB166" s="34">
        <v>0.4</v>
      </c>
      <c r="BC166" s="30">
        <v>-0.2</v>
      </c>
      <c r="BD166" s="39"/>
      <c r="BE166" s="39"/>
      <c r="BF166" s="39"/>
      <c r="BG166" s="39"/>
      <c r="BH166" s="39"/>
      <c r="BI166">
        <v>2.0499999999999998</v>
      </c>
    </row>
    <row r="167" spans="1:62" ht="15" thickBot="1">
      <c r="A167" s="20">
        <v>43922</v>
      </c>
      <c r="B167" s="3">
        <v>8.9423611111111114</v>
      </c>
      <c r="C167" s="3">
        <v>7.6631944444444446</v>
      </c>
      <c r="D167" s="3">
        <v>6.2623611111111117</v>
      </c>
      <c r="E167" s="3">
        <v>5.0979166666666664</v>
      </c>
      <c r="F167" s="3">
        <v>4.1872222222222222</v>
      </c>
      <c r="H167" s="6">
        <f t="shared" si="10"/>
        <v>5260.1470260909055</v>
      </c>
      <c r="I167" s="6">
        <f t="shared" si="11"/>
        <v>5.6170163860361377</v>
      </c>
      <c r="J167" s="3">
        <v>5.5259722222222267</v>
      </c>
      <c r="K167" s="3">
        <v>3.996388888888891</v>
      </c>
      <c r="L167" s="3">
        <v>3.4537500000000056</v>
      </c>
      <c r="M167" s="3">
        <v>2.5213888888888949</v>
      </c>
      <c r="N167" s="3">
        <v>1.5962500000000022</v>
      </c>
      <c r="P167" s="3">
        <v>81.781111111111187</v>
      </c>
      <c r="Q167" s="3">
        <v>79.466111111111033</v>
      </c>
      <c r="R167" s="3">
        <v>83.712083333333425</v>
      </c>
      <c r="S167" s="3">
        <v>84.47000000000007</v>
      </c>
      <c r="T167" s="3">
        <v>84.285972222222213</v>
      </c>
      <c r="V167" s="3"/>
      <c r="W167" s="3"/>
      <c r="X167" s="3"/>
      <c r="Y167" s="3"/>
      <c r="Z167" s="3"/>
      <c r="AA167" s="3"/>
      <c r="AB167" s="3"/>
      <c r="AC167" s="3">
        <v>3.65</v>
      </c>
      <c r="AD167" s="3">
        <v>4.3166666666666664</v>
      </c>
      <c r="AE167" s="3">
        <v>3.0166666666666666</v>
      </c>
      <c r="AF167" s="3">
        <v>2.6</v>
      </c>
      <c r="AG167" s="3">
        <v>1.55</v>
      </c>
      <c r="AH167" s="3"/>
      <c r="AI167" s="6">
        <f t="shared" si="12"/>
        <v>4893.1422588226978</v>
      </c>
      <c r="AJ167" s="6">
        <f t="shared" si="13"/>
        <v>4.194811528388704</v>
      </c>
      <c r="AK167" s="3">
        <v>3.05</v>
      </c>
      <c r="AL167" s="3">
        <v>2.3299999999999996</v>
      </c>
      <c r="AM167" s="3">
        <v>1.7466666666666668</v>
      </c>
      <c r="AN167" s="3">
        <v>0.68666666666666643</v>
      </c>
      <c r="AO167" s="3">
        <v>-0.54333333333333345</v>
      </c>
      <c r="AP167" s="3"/>
      <c r="AQ167" s="3">
        <v>51.056666666666658</v>
      </c>
      <c r="AR167" s="3">
        <v>56.260000000000005</v>
      </c>
      <c r="AS167" s="3">
        <v>59.730000000000011</v>
      </c>
      <c r="AT167" s="3">
        <v>67.073333333333323</v>
      </c>
      <c r="AU167" s="3">
        <v>66.460000000000008</v>
      </c>
      <c r="AV167" s="3"/>
      <c r="AY167" s="20">
        <v>44256</v>
      </c>
      <c r="AZ167">
        <v>5049.6088283896706</v>
      </c>
      <c r="BA167" s="38">
        <v>-0.84</v>
      </c>
      <c r="BB167" s="22">
        <v>0.19</v>
      </c>
      <c r="BC167" s="30">
        <v>0.3</v>
      </c>
      <c r="BD167" s="40"/>
      <c r="BE167" s="40"/>
      <c r="BF167" s="40"/>
      <c r="BG167" s="40"/>
      <c r="BH167" s="40"/>
      <c r="BI167">
        <v>-1.72</v>
      </c>
    </row>
    <row r="168" spans="1:62" ht="15" thickBot="1">
      <c r="A168" s="20">
        <v>43952</v>
      </c>
      <c r="B168" s="3">
        <v>8.310483870967742</v>
      </c>
      <c r="C168" s="3">
        <v>7.956317204301075</v>
      </c>
      <c r="D168" s="3">
        <v>6.3245967741935463</v>
      </c>
      <c r="E168" s="3">
        <v>5.245967741935484</v>
      </c>
      <c r="F168" s="3">
        <v>4.34032258064516</v>
      </c>
      <c r="H168" s="6">
        <f t="shared" si="10"/>
        <v>5245.8104969049664</v>
      </c>
      <c r="I168" s="6">
        <f t="shared" si="11"/>
        <v>5.760081992324718</v>
      </c>
      <c r="J168" s="3">
        <v>4.834677419354831</v>
      </c>
      <c r="K168" s="3">
        <v>3.4432795698924661</v>
      </c>
      <c r="L168" s="3">
        <v>2.9518817204301055</v>
      </c>
      <c r="M168" s="3">
        <v>2.2083333333333353</v>
      </c>
      <c r="N168" s="3">
        <v>1.2724462365591367</v>
      </c>
      <c r="P168" s="3">
        <v>81.218010752688357</v>
      </c>
      <c r="Q168" s="3">
        <v>74.972311827956958</v>
      </c>
      <c r="R168" s="3">
        <v>80.778225806451687</v>
      </c>
      <c r="S168" s="3">
        <v>81.974865591397872</v>
      </c>
      <c r="T168" s="3">
        <v>81.814650537634336</v>
      </c>
      <c r="V168" s="3"/>
      <c r="W168" s="3"/>
      <c r="X168" s="3"/>
      <c r="Y168" s="3"/>
      <c r="Z168" s="3"/>
      <c r="AA168" s="3"/>
      <c r="AB168" s="3"/>
      <c r="AC168" s="3">
        <v>2.903225806451613</v>
      </c>
      <c r="AD168" s="3">
        <v>4.467741935483871</v>
      </c>
      <c r="AE168" s="3">
        <v>2.9161290322580649</v>
      </c>
      <c r="AF168" s="3">
        <v>2.629032258064516</v>
      </c>
      <c r="AG168" s="3">
        <v>1.6612903225806452</v>
      </c>
      <c r="AH168" s="3"/>
      <c r="AI168" s="6">
        <f t="shared" si="12"/>
        <v>4877.6269630818679</v>
      </c>
      <c r="AJ168" s="6">
        <f t="shared" si="13"/>
        <v>4.165209687072962</v>
      </c>
      <c r="AK168" s="3">
        <v>2.1741935483870964</v>
      </c>
      <c r="AL168" s="3">
        <v>1.5838709677419351</v>
      </c>
      <c r="AM168" s="3">
        <v>1.1709677419354838</v>
      </c>
      <c r="AN168" s="3">
        <v>0.34193548387096795</v>
      </c>
      <c r="AO168" s="3">
        <v>-1.1451612903225807</v>
      </c>
      <c r="AP168" s="3"/>
      <c r="AQ168" s="3">
        <v>51.651612903225818</v>
      </c>
      <c r="AR168" s="3">
        <v>51.17096774193547</v>
      </c>
      <c r="AS168" s="3">
        <v>55.051612903225802</v>
      </c>
      <c r="AT168" s="3">
        <v>64.43548387096773</v>
      </c>
      <c r="AU168" s="3">
        <v>63.148387096774194</v>
      </c>
      <c r="AV168" s="3"/>
      <c r="AY168" s="20">
        <v>44287</v>
      </c>
      <c r="AZ168">
        <v>5218.4578472412149</v>
      </c>
      <c r="BA168" s="38">
        <v>-0.66</v>
      </c>
      <c r="BB168" s="22">
        <v>-0.08</v>
      </c>
      <c r="BC168" s="30">
        <v>0.7</v>
      </c>
      <c r="BD168" s="40"/>
      <c r="BE168" s="40"/>
      <c r="BF168" s="40"/>
      <c r="BG168" s="40"/>
      <c r="BH168" s="40"/>
      <c r="BI168">
        <v>1.03</v>
      </c>
    </row>
    <row r="169" spans="1:62" ht="15" thickBot="1">
      <c r="A169" s="20">
        <v>43983</v>
      </c>
      <c r="B169" s="3">
        <v>7.4465277777777779</v>
      </c>
      <c r="C169" s="3">
        <v>8.0201388888888889</v>
      </c>
      <c r="D169" s="3">
        <v>6.0640277777777785</v>
      </c>
      <c r="E169" s="3">
        <v>5.1409722222222225</v>
      </c>
      <c r="F169" s="3">
        <v>4.1601388888888868</v>
      </c>
      <c r="H169" s="6">
        <f t="shared" si="10"/>
        <v>5160.1685532257379</v>
      </c>
      <c r="I169" s="6">
        <f t="shared" si="11"/>
        <v>6.0133614861120375</v>
      </c>
      <c r="J169" s="3">
        <v>1.8924999999999996</v>
      </c>
      <c r="K169" s="3">
        <v>0.35055555555555501</v>
      </c>
      <c r="L169" s="3">
        <v>-0.10625000000000046</v>
      </c>
      <c r="M169" s="3">
        <v>-0.50833333333333364</v>
      </c>
      <c r="N169" s="3">
        <v>-1.4199999999999993</v>
      </c>
      <c r="P169" s="3">
        <v>72.013472222222276</v>
      </c>
      <c r="Q169" s="3">
        <v>60.983749999999901</v>
      </c>
      <c r="R169" s="3">
        <v>67.394027777777694</v>
      </c>
      <c r="S169" s="3">
        <v>68.736388888888811</v>
      </c>
      <c r="T169" s="3">
        <v>68.943750000000051</v>
      </c>
      <c r="V169" s="3"/>
      <c r="W169" s="3"/>
      <c r="X169" s="3"/>
      <c r="Y169" s="3"/>
      <c r="Z169" s="3"/>
      <c r="AA169" s="3"/>
      <c r="AB169" s="3"/>
      <c r="AC169" s="3">
        <v>0.48333333333333334</v>
      </c>
      <c r="AD169" s="3">
        <v>3.6833333333333331</v>
      </c>
      <c r="AE169" s="3">
        <v>1.5833333333333333</v>
      </c>
      <c r="AF169" s="3">
        <v>1.8833333333333333</v>
      </c>
      <c r="AG169" s="3">
        <v>0.97000000000000008</v>
      </c>
      <c r="AH169" s="3"/>
      <c r="AI169" s="6">
        <f t="shared" si="12"/>
        <v>4633.5579676976395</v>
      </c>
      <c r="AJ169" s="6">
        <f t="shared" si="13"/>
        <v>3.6793053325606362</v>
      </c>
      <c r="AK169" s="3">
        <v>-0.57999999999999996</v>
      </c>
      <c r="AL169" s="3">
        <v>-1.7166666666666672</v>
      </c>
      <c r="AM169" s="3">
        <v>-2.0499999999999998</v>
      </c>
      <c r="AN169" s="3">
        <v>-2.71</v>
      </c>
      <c r="AO169" s="3">
        <v>-4.0233333333333325</v>
      </c>
      <c r="AP169" s="3"/>
      <c r="AQ169" s="3">
        <v>40.263333333333335</v>
      </c>
      <c r="AR169" s="3">
        <v>39.176666666666669</v>
      </c>
      <c r="AS169" s="3">
        <v>41.646666666666675</v>
      </c>
      <c r="AT169" s="3">
        <v>49.52666666666665</v>
      </c>
      <c r="AU169" s="3">
        <v>49.653333333333329</v>
      </c>
      <c r="AV169" s="3"/>
      <c r="AY169" s="20">
        <v>44317</v>
      </c>
      <c r="AZ169">
        <v>5139.2444675227989</v>
      </c>
      <c r="BA169" s="41">
        <v>-0.48</v>
      </c>
      <c r="BB169" s="22">
        <v>-0.3</v>
      </c>
      <c r="BC169" s="30">
        <v>-0.6</v>
      </c>
      <c r="BD169" s="40"/>
      <c r="BE169" s="40"/>
      <c r="BF169" s="40"/>
      <c r="BG169" s="40"/>
      <c r="BH169" s="40"/>
      <c r="BI169">
        <v>1.18</v>
      </c>
    </row>
    <row r="170" spans="1:62" ht="15" thickBot="1">
      <c r="A170" s="20">
        <v>44013</v>
      </c>
      <c r="B170" s="3">
        <v>6.975806451612903</v>
      </c>
      <c r="C170" s="3">
        <v>7.656586021505376</v>
      </c>
      <c r="D170" s="3">
        <v>5.7038978494623693</v>
      </c>
      <c r="E170" s="3">
        <v>4.823252688172043</v>
      </c>
      <c r="F170" s="3">
        <v>3.8647849462365591</v>
      </c>
      <c r="H170" s="6">
        <f t="shared" si="10"/>
        <v>5121.7454184295621</v>
      </c>
      <c r="I170" s="6">
        <f t="shared" si="11"/>
        <v>5.8910396853148832</v>
      </c>
      <c r="J170" s="3">
        <v>0.65981182795698956</v>
      </c>
      <c r="K170" s="3">
        <v>-1.6192204301075275</v>
      </c>
      <c r="L170" s="3">
        <v>-2.1459677419354839</v>
      </c>
      <c r="M170" s="3">
        <v>-2.7583333333333337</v>
      </c>
      <c r="N170" s="3">
        <v>-3.8147849462365575</v>
      </c>
      <c r="P170" s="3">
        <v>69.214247311827904</v>
      </c>
      <c r="Q170" s="3">
        <v>56.177553763440713</v>
      </c>
      <c r="R170" s="3">
        <v>61.430645161290393</v>
      </c>
      <c r="S170" s="3">
        <v>61.576478494623657</v>
      </c>
      <c r="T170" s="3">
        <v>61.08185483870956</v>
      </c>
      <c r="V170" s="3"/>
      <c r="W170" s="3"/>
      <c r="X170" s="3"/>
      <c r="Y170" s="3"/>
      <c r="Z170" s="3"/>
      <c r="AA170" s="3"/>
      <c r="AB170" s="3"/>
      <c r="AC170" s="3">
        <v>-9.6774193548387094E-2</v>
      </c>
      <c r="AD170" s="3">
        <v>3.467741935483871</v>
      </c>
      <c r="AE170" s="3">
        <v>1.1774193548387097</v>
      </c>
      <c r="AF170" s="3">
        <v>1.6774193548387097</v>
      </c>
      <c r="AG170" s="3">
        <v>0.64838709677419359</v>
      </c>
      <c r="AH170" s="3"/>
      <c r="AI170" s="6">
        <f t="shared" si="12"/>
        <v>4551.2867755395291</v>
      </c>
      <c r="AJ170" s="6">
        <f t="shared" si="13"/>
        <v>3.7176041034266016</v>
      </c>
      <c r="AK170" s="3">
        <v>-2.0774193548387094</v>
      </c>
      <c r="AL170" s="3">
        <v>-4.5870967741935491</v>
      </c>
      <c r="AM170" s="3">
        <v>-4.8645161290322578</v>
      </c>
      <c r="AN170" s="3">
        <v>-5.7290322580645157</v>
      </c>
      <c r="AO170" s="3">
        <v>-7.3193548387096774</v>
      </c>
      <c r="AP170" s="3"/>
      <c r="AQ170" s="3">
        <v>36.809677419354834</v>
      </c>
      <c r="AR170" s="3">
        <v>34.609677419354838</v>
      </c>
      <c r="AS170" s="3">
        <v>37.548387096774192</v>
      </c>
      <c r="AT170" s="3">
        <v>43.367741935483849</v>
      </c>
      <c r="AU170" s="3">
        <v>43.012903225806461</v>
      </c>
      <c r="AV170" s="3"/>
      <c r="AY170" s="20">
        <v>44682</v>
      </c>
      <c r="AZ170">
        <v>5152.173235008041</v>
      </c>
      <c r="BA170" s="42">
        <v>-0.99</v>
      </c>
      <c r="BB170" s="22">
        <v>-0.41</v>
      </c>
      <c r="BC170" s="30">
        <v>0.7</v>
      </c>
      <c r="BD170" s="40"/>
      <c r="BE170" s="40"/>
      <c r="BF170" s="40"/>
      <c r="BG170" s="40"/>
      <c r="BH170" s="40"/>
      <c r="BI170">
        <v>-0.97</v>
      </c>
    </row>
    <row r="171" spans="1:62" ht="15" thickBot="1">
      <c r="A171" s="20">
        <v>44044</v>
      </c>
      <c r="B171" s="3">
        <v>7.528225806451613</v>
      </c>
      <c r="C171" s="3">
        <v>8.25739247311828</v>
      </c>
      <c r="D171" s="3">
        <v>6.3219086021505353</v>
      </c>
      <c r="E171" s="3">
        <v>5.411962365591398</v>
      </c>
      <c r="F171" s="3">
        <v>4.3490591397849467</v>
      </c>
      <c r="H171" s="6">
        <f t="shared" si="10"/>
        <v>5193.0317081696612</v>
      </c>
      <c r="I171" s="6">
        <f t="shared" si="11"/>
        <v>6.080192922996801</v>
      </c>
      <c r="J171" s="3">
        <v>-1.0905913978494626</v>
      </c>
      <c r="K171" s="3">
        <v>-3.807795698924739</v>
      </c>
      <c r="L171" s="3">
        <v>-4.2987903225806408</v>
      </c>
      <c r="M171" s="3">
        <v>-4.5177419354838682</v>
      </c>
      <c r="N171" s="3">
        <v>-5.6001344086021518</v>
      </c>
      <c r="P171" s="3">
        <v>61.524596774193562</v>
      </c>
      <c r="Q171" s="3">
        <v>48.653091397849416</v>
      </c>
      <c r="R171" s="3">
        <v>52.947446236559102</v>
      </c>
      <c r="S171" s="3">
        <v>54.546908602150459</v>
      </c>
      <c r="T171" s="3">
        <v>55.100672043010675</v>
      </c>
      <c r="V171" s="3"/>
      <c r="W171" s="3"/>
      <c r="X171" s="3"/>
      <c r="Y171" s="3"/>
      <c r="Z171" s="3"/>
      <c r="AA171" s="3"/>
      <c r="AB171" s="3"/>
      <c r="AC171" s="3">
        <v>0.14516129032258066</v>
      </c>
      <c r="AD171" s="3">
        <v>3.3225806451612905</v>
      </c>
      <c r="AE171" s="3">
        <v>1.2451612903225804</v>
      </c>
      <c r="AF171" s="3">
        <v>1.6451612903225807</v>
      </c>
      <c r="AG171" s="3">
        <v>0.532258064516129</v>
      </c>
      <c r="AH171" s="3"/>
      <c r="AI171" s="6">
        <f t="shared" si="12"/>
        <v>4564.0888703039645</v>
      </c>
      <c r="AJ171" s="6">
        <f t="shared" si="13"/>
        <v>3.7446188801877027</v>
      </c>
      <c r="AK171" s="3">
        <v>-4.0870967741935482</v>
      </c>
      <c r="AL171" s="3">
        <v>-6.9806451612903224</v>
      </c>
      <c r="AM171" s="3">
        <v>-7.3741935483870931</v>
      </c>
      <c r="AN171" s="3">
        <v>-7.6741935483870956</v>
      </c>
      <c r="AO171" s="3">
        <v>-9.1064516129032267</v>
      </c>
      <c r="AP171" s="3"/>
      <c r="AQ171" s="3">
        <v>29.780645161290312</v>
      </c>
      <c r="AR171" s="3">
        <v>28.019354838709681</v>
      </c>
      <c r="AS171" s="3">
        <v>30.361290322580651</v>
      </c>
      <c r="AT171" s="3">
        <v>36.035483870967738</v>
      </c>
      <c r="AU171" s="3">
        <v>35.829032258064515</v>
      </c>
      <c r="AV171" s="3"/>
      <c r="AY171" s="20">
        <v>44713</v>
      </c>
      <c r="AZ171">
        <v>5007.1907959125474</v>
      </c>
      <c r="BA171" s="42">
        <v>-0.85</v>
      </c>
      <c r="BB171" s="37">
        <v>-0.56999999999999995</v>
      </c>
      <c r="BC171" s="30">
        <v>1.8</v>
      </c>
      <c r="BD171" s="40"/>
      <c r="BE171" s="40"/>
      <c r="BF171" s="40"/>
      <c r="BG171" s="40"/>
      <c r="BH171" s="40"/>
      <c r="BI171">
        <v>-2.2000000000000002</v>
      </c>
    </row>
    <row r="172" spans="1:62" ht="15" thickBot="1">
      <c r="A172" s="20">
        <v>44075</v>
      </c>
      <c r="B172" s="3">
        <v>8.1479166666666671</v>
      </c>
      <c r="C172" s="3">
        <v>7.5659722222222223</v>
      </c>
      <c r="D172" s="3">
        <v>6.0333333333333323</v>
      </c>
      <c r="E172" s="3">
        <v>4.78125</v>
      </c>
      <c r="F172" s="3">
        <v>3.7352777777777773</v>
      </c>
      <c r="H172" s="6">
        <f t="shared" si="10"/>
        <v>5126.6861542319402</v>
      </c>
      <c r="I172" s="6">
        <f t="shared" si="11"/>
        <v>6.1753837887707688</v>
      </c>
      <c r="J172" s="3">
        <v>2.5881944444444462</v>
      </c>
      <c r="K172" s="3">
        <v>1.1004166666666675</v>
      </c>
      <c r="L172" s="3">
        <v>0.75152777777777768</v>
      </c>
      <c r="M172" s="3">
        <v>0.30597222222222209</v>
      </c>
      <c r="N172" s="3">
        <v>-0.46236111111111083</v>
      </c>
      <c r="P172" s="3">
        <v>71.631388888889063</v>
      </c>
      <c r="Q172" s="3">
        <v>65.770833333333272</v>
      </c>
      <c r="R172" s="3">
        <v>70.959166666666761</v>
      </c>
      <c r="S172" s="3">
        <v>74.178333333333512</v>
      </c>
      <c r="T172" s="3">
        <v>75.586249999999993</v>
      </c>
      <c r="V172" s="3"/>
      <c r="W172" s="3"/>
      <c r="X172" s="3"/>
      <c r="Y172" s="3"/>
      <c r="Z172" s="3"/>
      <c r="AA172" s="3"/>
      <c r="AB172" s="3"/>
      <c r="AC172" s="3">
        <v>1.75</v>
      </c>
      <c r="AD172" s="3">
        <v>3.85</v>
      </c>
      <c r="AE172" s="3">
        <v>2.3633333333333337</v>
      </c>
      <c r="AF172" s="3">
        <v>2.1666666666666665</v>
      </c>
      <c r="AG172" s="3">
        <v>1.05</v>
      </c>
      <c r="AH172" s="3"/>
      <c r="AI172" s="6">
        <f t="shared" si="12"/>
        <v>4762.0297724614693</v>
      </c>
      <c r="AJ172" s="6">
        <f t="shared" si="13"/>
        <v>4.1155467307625324</v>
      </c>
      <c r="AK172" s="3">
        <v>0.17666666666666669</v>
      </c>
      <c r="AL172" s="3">
        <v>-0.79666666666666652</v>
      </c>
      <c r="AM172" s="3">
        <v>-0.8933333333333332</v>
      </c>
      <c r="AN172" s="3">
        <v>-1.5533333333333337</v>
      </c>
      <c r="AO172" s="3">
        <v>-2.8099999999999992</v>
      </c>
      <c r="AP172" s="3"/>
      <c r="AQ172" s="3">
        <v>41.093333333333341</v>
      </c>
      <c r="AR172" s="3">
        <v>44.113333333333344</v>
      </c>
      <c r="AS172" s="3">
        <v>48.033333333333324</v>
      </c>
      <c r="AT172" s="3">
        <v>55.31333333333334</v>
      </c>
      <c r="AU172" s="3">
        <v>56.409999999999989</v>
      </c>
      <c r="AV172" s="3"/>
      <c r="AY172" s="20">
        <v>44743</v>
      </c>
      <c r="AZ172">
        <v>5033.3754613501924</v>
      </c>
      <c r="BA172" s="42">
        <v>-0.81</v>
      </c>
      <c r="BB172" s="37">
        <v>-0.89</v>
      </c>
      <c r="BC172" s="30">
        <v>1.5</v>
      </c>
      <c r="BD172" s="40"/>
      <c r="BE172" s="40"/>
      <c r="BF172" s="40"/>
      <c r="BG172" s="40"/>
      <c r="BH172" s="40"/>
      <c r="BI172">
        <v>-0.25</v>
      </c>
    </row>
    <row r="173" spans="1:62" ht="15" thickBot="1">
      <c r="A173" s="20">
        <v>44105</v>
      </c>
      <c r="B173" s="3">
        <v>8.741935483870968</v>
      </c>
      <c r="C173" s="3">
        <v>7.440188172043011</v>
      </c>
      <c r="D173" s="3">
        <v>5.7689516129032237</v>
      </c>
      <c r="E173" s="3">
        <v>4.627688172043011</v>
      </c>
      <c r="F173" s="3">
        <v>3.6391129032258065</v>
      </c>
      <c r="H173" s="6">
        <f t="shared" si="10"/>
        <v>5105.4277685101915</v>
      </c>
      <c r="I173" s="6">
        <f t="shared" si="11"/>
        <v>6.0626510674590994</v>
      </c>
      <c r="J173" s="3">
        <v>2.9319892473118316</v>
      </c>
      <c r="K173" s="3">
        <v>1.6060483870967743</v>
      </c>
      <c r="L173" s="3">
        <v>1.2307795698924737</v>
      </c>
      <c r="M173" s="3">
        <v>0.65309139784946202</v>
      </c>
      <c r="N173" s="3">
        <v>-0.11854838709677386</v>
      </c>
      <c r="P173" s="3">
        <v>70.773252688172178</v>
      </c>
      <c r="Q173" s="3">
        <v>69.545967741935485</v>
      </c>
      <c r="R173" s="3">
        <v>75.424327956989259</v>
      </c>
      <c r="S173" s="3">
        <v>77.562096774193563</v>
      </c>
      <c r="T173" s="3">
        <v>78.474596774193628</v>
      </c>
      <c r="V173" s="3"/>
      <c r="W173" s="3"/>
      <c r="X173" s="3"/>
      <c r="Y173" s="3"/>
      <c r="Z173" s="3"/>
      <c r="AA173" s="3"/>
      <c r="AB173" s="3"/>
      <c r="AC173" s="3">
        <v>3.2419354838709675</v>
      </c>
      <c r="AD173" s="3">
        <v>3.935483870967742</v>
      </c>
      <c r="AE173" s="3">
        <v>2</v>
      </c>
      <c r="AF173" s="3">
        <v>1.6612903225806452</v>
      </c>
      <c r="AG173" s="3">
        <v>0.49032258064516127</v>
      </c>
      <c r="AH173" s="3"/>
      <c r="AI173" s="6">
        <f t="shared" si="12"/>
        <v>4601.8760478531804</v>
      </c>
      <c r="AJ173" s="6">
        <f t="shared" si="13"/>
        <v>5.1034023908460515</v>
      </c>
      <c r="AK173" s="3">
        <v>0.29032258064516125</v>
      </c>
      <c r="AL173" s="3">
        <v>-0.26451612903225791</v>
      </c>
      <c r="AM173" s="3">
        <v>-0.58709677419354844</v>
      </c>
      <c r="AN173" s="3">
        <v>-1.1387096774193552</v>
      </c>
      <c r="AO173" s="3">
        <v>-2.3129032258064521</v>
      </c>
      <c r="AP173" s="3"/>
      <c r="AQ173" s="3">
        <v>42.9</v>
      </c>
      <c r="AR173" s="3">
        <v>46.874193548387105</v>
      </c>
      <c r="AS173" s="3">
        <v>51.193548387096776</v>
      </c>
      <c r="AT173" s="3">
        <v>57.351612903225814</v>
      </c>
      <c r="AU173" s="3">
        <v>58.080645161290327</v>
      </c>
      <c r="AV173" s="3"/>
      <c r="AY173" s="20">
        <v>44774</v>
      </c>
      <c r="AZ173">
        <v>5095.9171349687949</v>
      </c>
      <c r="BA173" s="42">
        <v>-0.91</v>
      </c>
      <c r="BB173" s="38">
        <v>-1.17</v>
      </c>
      <c r="BC173" s="23">
        <v>0.8</v>
      </c>
      <c r="BI173">
        <v>1.79</v>
      </c>
    </row>
    <row r="174" spans="1:62" ht="15" thickBot="1">
      <c r="A174" s="20">
        <v>44136</v>
      </c>
      <c r="B174" s="3">
        <v>7.9840277777777775</v>
      </c>
      <c r="C174" s="3">
        <v>7.6937499999999996</v>
      </c>
      <c r="D174" s="3">
        <v>6.0393055555555506</v>
      </c>
      <c r="E174" s="3">
        <v>5.259722222222222</v>
      </c>
      <c r="F174" s="3">
        <v>4.3229166666666661</v>
      </c>
      <c r="H174" s="6">
        <f t="shared" si="10"/>
        <v>5300.2396002923306</v>
      </c>
      <c r="I174" s="6">
        <f t="shared" si="11"/>
        <v>5.2426917043778758</v>
      </c>
      <c r="J174" s="3">
        <v>2.6347222222222237</v>
      </c>
      <c r="K174" s="3">
        <v>1.3115277777777783</v>
      </c>
      <c r="L174" s="3">
        <v>0.91708333333333314</v>
      </c>
      <c r="M174" s="3">
        <v>0.4320833333333341</v>
      </c>
      <c r="N174" s="3">
        <v>-0.4236111111111116</v>
      </c>
      <c r="P174" s="3">
        <v>73.490972222222339</v>
      </c>
      <c r="Q174" s="3">
        <v>67.95444444444442</v>
      </c>
      <c r="R174" s="3">
        <v>73.151944444444482</v>
      </c>
      <c r="S174" s="3">
        <v>74.104166666666814</v>
      </c>
      <c r="T174" s="3">
        <v>74.420277777777841</v>
      </c>
      <c r="V174" s="3"/>
      <c r="W174" s="3"/>
      <c r="X174" s="3"/>
      <c r="Y174" s="3"/>
      <c r="Z174" s="3"/>
      <c r="AA174" s="3"/>
      <c r="AB174" s="3"/>
      <c r="AC174" s="3">
        <v>1.7333333333333334</v>
      </c>
      <c r="AD174" s="3">
        <v>3.5666666666666669</v>
      </c>
      <c r="AE174" s="3">
        <v>1.78</v>
      </c>
      <c r="AF174" s="3">
        <v>2.0333333333333332</v>
      </c>
      <c r="AG174" s="3">
        <v>1.1499999999999999</v>
      </c>
      <c r="AH174" s="3"/>
      <c r="AI174" s="6">
        <f t="shared" si="12"/>
        <v>4716.1878401011054</v>
      </c>
      <c r="AJ174" s="6">
        <f t="shared" si="13"/>
        <v>3.291626685920761</v>
      </c>
      <c r="AK174" s="3">
        <v>-0.21333333333333293</v>
      </c>
      <c r="AL174" s="3">
        <v>-1.2333333333333332</v>
      </c>
      <c r="AM174" s="3">
        <v>-1.5700000000000003</v>
      </c>
      <c r="AN174" s="3">
        <v>-1.93</v>
      </c>
      <c r="AO174" s="3">
        <v>-3.2033333333333331</v>
      </c>
      <c r="AP174" s="3"/>
      <c r="AQ174" s="3">
        <v>44.09</v>
      </c>
      <c r="AR174" s="3">
        <v>44.540000000000006</v>
      </c>
      <c r="AS174" s="3">
        <v>48.49</v>
      </c>
      <c r="AT174" s="3">
        <v>54.18666666666666</v>
      </c>
      <c r="AU174" s="3">
        <v>53.713333333333331</v>
      </c>
      <c r="AV174" s="3"/>
      <c r="AY174" s="20">
        <v>44805</v>
      </c>
      <c r="AZ174">
        <v>5153.869885860915</v>
      </c>
      <c r="BA174" s="42">
        <v>-1.01</v>
      </c>
      <c r="BB174" s="38">
        <v>-1.27</v>
      </c>
      <c r="BC174" s="23">
        <v>1.1000000000000001</v>
      </c>
    </row>
    <row r="175" spans="1:62" ht="15" thickBot="1">
      <c r="A175" s="20">
        <v>44166</v>
      </c>
      <c r="B175" s="3">
        <v>7.09005376344086</v>
      </c>
      <c r="C175" s="3">
        <v>6.131720430107527</v>
      </c>
      <c r="D175" s="3">
        <v>5.1424731182795682</v>
      </c>
      <c r="E175" s="3">
        <v>3.9126344086021505</v>
      </c>
      <c r="F175" s="3">
        <v>3.1260752688172029</v>
      </c>
      <c r="H175" s="6">
        <f t="shared" si="10"/>
        <v>5158.3278591993285</v>
      </c>
      <c r="I175" s="6">
        <f t="shared" si="11"/>
        <v>4.9903492021268185</v>
      </c>
      <c r="J175" s="3">
        <v>6.0596774193548262</v>
      </c>
      <c r="K175" s="3">
        <v>5.0586021505376291</v>
      </c>
      <c r="L175" s="3">
        <v>4.3396505376344123</v>
      </c>
      <c r="M175" s="3">
        <v>3.1825268817204342</v>
      </c>
      <c r="N175" s="3">
        <v>2.3970430107526974</v>
      </c>
      <c r="P175" s="3">
        <v>93.793548387096749</v>
      </c>
      <c r="Q175" s="3">
        <v>92.79771505376344</v>
      </c>
      <c r="R175" s="3">
        <v>94.314516129032313</v>
      </c>
      <c r="S175" s="3">
        <v>94.7431451612903</v>
      </c>
      <c r="T175" s="3">
        <v>94.001881720430134</v>
      </c>
      <c r="V175" s="3"/>
      <c r="W175" s="3"/>
      <c r="X175" s="3"/>
      <c r="Y175" s="3"/>
      <c r="Z175" s="3"/>
      <c r="AA175" s="3"/>
      <c r="AB175" s="3"/>
      <c r="AC175" s="3">
        <v>3.661290322580645</v>
      </c>
      <c r="AD175" s="3">
        <v>3.403225806451613</v>
      </c>
      <c r="AE175" s="3">
        <v>2.4290322580645158</v>
      </c>
      <c r="AF175" s="3">
        <v>1.6612903225806452</v>
      </c>
      <c r="AG175" s="3">
        <v>0.80645161290322587</v>
      </c>
      <c r="AH175" s="3"/>
      <c r="AI175" s="6">
        <f t="shared" si="12"/>
        <v>4742.0748319814102</v>
      </c>
      <c r="AJ175" s="6">
        <f t="shared" si="13"/>
        <v>4.1508671850602612</v>
      </c>
      <c r="AK175" s="3">
        <v>3.5677419354838711</v>
      </c>
      <c r="AL175" s="3">
        <v>3.254838709677419</v>
      </c>
      <c r="AM175" s="3">
        <v>2.4741935483870976</v>
      </c>
      <c r="AN175" s="3">
        <v>1.4774193548387093</v>
      </c>
      <c r="AO175" s="3">
        <v>0.44516129032258051</v>
      </c>
      <c r="AP175" s="3"/>
      <c r="AQ175" s="3">
        <v>72.838709677419345</v>
      </c>
      <c r="AR175" s="3">
        <v>73.629032258064498</v>
      </c>
      <c r="AS175" s="3">
        <v>75.806451612903246</v>
      </c>
      <c r="AT175" s="3">
        <v>80.40322580645163</v>
      </c>
      <c r="AU175" s="3">
        <v>80.490322580645156</v>
      </c>
      <c r="AV175" s="3"/>
      <c r="AY175" s="20">
        <v>44835</v>
      </c>
      <c r="AZ175">
        <v>5233.6300340767812</v>
      </c>
      <c r="BA175" s="42">
        <v>-0.99</v>
      </c>
      <c r="BB175" s="38">
        <v>-1.19</v>
      </c>
      <c r="BC175" s="23">
        <v>3</v>
      </c>
    </row>
    <row r="176" spans="1:62" ht="15" thickBot="1">
      <c r="A176" s="20">
        <v>44197</v>
      </c>
      <c r="B176" s="3">
        <v>7.221102150537634</v>
      </c>
      <c r="C176" s="3">
        <v>6.148521505376344</v>
      </c>
      <c r="D176" s="3">
        <v>5.1584677419354819</v>
      </c>
      <c r="E176" s="3">
        <v>3.8118279569892475</v>
      </c>
      <c r="F176" s="3">
        <v>3.0060483870967749</v>
      </c>
      <c r="H176" s="6">
        <f t="shared" si="10"/>
        <v>5104.0562694596747</v>
      </c>
      <c r="I176" s="6">
        <f t="shared" si="11"/>
        <v>5.2524299508217647</v>
      </c>
      <c r="J176" s="3">
        <v>6.1801075268817156</v>
      </c>
      <c r="K176" s="3">
        <v>4.986827956989254</v>
      </c>
      <c r="L176" s="3">
        <v>4.3162634408602152</v>
      </c>
      <c r="M176" s="3">
        <v>3.1747311827956994</v>
      </c>
      <c r="N176" s="3">
        <v>2.4338709677419414</v>
      </c>
      <c r="P176" s="3">
        <v>93.835483870967806</v>
      </c>
      <c r="Q176" s="3">
        <v>92.292204301075316</v>
      </c>
      <c r="R176" s="3">
        <v>94.064784946236571</v>
      </c>
      <c r="S176" s="3">
        <v>95.354032258064606</v>
      </c>
      <c r="T176" s="3">
        <v>95.035618279569889</v>
      </c>
      <c r="V176" s="3"/>
      <c r="W176" s="3"/>
      <c r="X176" s="3"/>
      <c r="Y176" s="3"/>
      <c r="Z176" s="3"/>
      <c r="AA176" s="3"/>
      <c r="AB176" s="3"/>
      <c r="AC176" s="3">
        <v>3.5483870967741935</v>
      </c>
      <c r="AD176" s="3">
        <v>3.2419354838709675</v>
      </c>
      <c r="AE176" s="3">
        <v>2.4096774193548383</v>
      </c>
      <c r="AF176" s="3">
        <v>1.6129032258064515</v>
      </c>
      <c r="AG176" s="3">
        <v>0.83870967741935487</v>
      </c>
      <c r="AH176" s="3"/>
      <c r="AI176" s="6">
        <f t="shared" si="12"/>
        <v>4765.6641068750851</v>
      </c>
      <c r="AJ176" s="6">
        <f t="shared" si="13"/>
        <v>3.8915835562601488</v>
      </c>
      <c r="AK176" s="3">
        <v>3.5612903225806454</v>
      </c>
      <c r="AL176" s="3">
        <v>3.1290322580645156</v>
      </c>
      <c r="AM176" s="3">
        <v>2.5096774193548383</v>
      </c>
      <c r="AN176" s="3">
        <v>1.3903225806451613</v>
      </c>
      <c r="AO176" s="3">
        <v>0.62580645161290305</v>
      </c>
      <c r="AP176" s="3"/>
      <c r="AQ176" s="3">
        <v>72.083870967741944</v>
      </c>
      <c r="AR176" s="3">
        <v>72.519354838709674</v>
      </c>
      <c r="AS176" s="3">
        <v>75.93548387096773</v>
      </c>
      <c r="AT176" s="3">
        <v>82.490322580645156</v>
      </c>
      <c r="AU176" s="3">
        <v>81.816129032258075</v>
      </c>
      <c r="AV176" s="3"/>
      <c r="AY176" s="20">
        <v>44866</v>
      </c>
      <c r="AZ176">
        <v>5279.691939253592</v>
      </c>
      <c r="BA176" s="42">
        <v>-0.92</v>
      </c>
      <c r="BB176" s="38">
        <v>-1.05</v>
      </c>
      <c r="BC176" s="23">
        <v>3.2</v>
      </c>
    </row>
    <row r="177" spans="1:55" ht="15" thickBot="1">
      <c r="A177" s="20">
        <v>44228</v>
      </c>
      <c r="B177" s="3">
        <v>8.2790178571428577</v>
      </c>
      <c r="C177" s="3">
        <v>7.651041666666667</v>
      </c>
      <c r="D177" s="3">
        <v>6.2825892857142849</v>
      </c>
      <c r="E177" s="3">
        <v>5.1235119047619051</v>
      </c>
      <c r="F177" s="3">
        <v>4.1669642857142861</v>
      </c>
      <c r="H177" s="6">
        <f t="shared" si="10"/>
        <v>5262.2852006085341</v>
      </c>
      <c r="I177" s="6">
        <f t="shared" si="11"/>
        <v>5.6292232843792558</v>
      </c>
      <c r="J177" s="3">
        <v>5.0138392857142904</v>
      </c>
      <c r="K177" s="3">
        <v>3.3924107142857132</v>
      </c>
      <c r="L177" s="3">
        <v>2.702976190476194</v>
      </c>
      <c r="M177" s="3">
        <v>1.8004464285714314</v>
      </c>
      <c r="N177" s="3">
        <v>0.95089285714285543</v>
      </c>
      <c r="P177" s="3">
        <v>82.724851190476215</v>
      </c>
      <c r="Q177" s="3">
        <v>76.946577380952363</v>
      </c>
      <c r="R177" s="3">
        <v>80.214732142857244</v>
      </c>
      <c r="S177" s="3">
        <v>81.01994047619057</v>
      </c>
      <c r="T177" s="3">
        <v>81.493898809523799</v>
      </c>
      <c r="V177" s="3"/>
      <c r="W177" s="3"/>
      <c r="X177" s="3"/>
      <c r="Y177" s="3"/>
      <c r="Z177" s="3"/>
      <c r="AA177" s="3"/>
      <c r="AB177" s="3"/>
      <c r="AC177" s="3">
        <v>2.8392857142857144</v>
      </c>
      <c r="AD177" s="3">
        <v>3.6964285714285716</v>
      </c>
      <c r="AE177" s="3">
        <v>2.2928571428571431</v>
      </c>
      <c r="AF177" s="3">
        <v>1.9642857142857142</v>
      </c>
      <c r="AG177" s="3">
        <v>0.95357142857142851</v>
      </c>
      <c r="AH177" s="3"/>
      <c r="AI177" s="6">
        <f t="shared" si="12"/>
        <v>4747.3319483467858</v>
      </c>
      <c r="AJ177" s="6">
        <f t="shared" si="13"/>
        <v>4.1054005561791129</v>
      </c>
      <c r="AK177" s="3">
        <v>2.1071428571428572</v>
      </c>
      <c r="AL177" s="3">
        <v>1.1749999999999996</v>
      </c>
      <c r="AM177" s="3">
        <v>0.56071428571428583</v>
      </c>
      <c r="AN177" s="3">
        <v>-0.52142857142857146</v>
      </c>
      <c r="AO177" s="3">
        <v>-1.5642857142857143</v>
      </c>
      <c r="AP177" s="3"/>
      <c r="AQ177" s="3">
        <v>53.403571428571446</v>
      </c>
      <c r="AR177" s="3">
        <v>52.525000000000013</v>
      </c>
      <c r="AS177" s="3">
        <v>55.328571428571429</v>
      </c>
      <c r="AT177" s="3">
        <v>61.864285714285707</v>
      </c>
      <c r="AU177" s="3">
        <v>61.603571428571421</v>
      </c>
      <c r="AV177" s="3"/>
      <c r="AY177" s="20">
        <v>44896</v>
      </c>
      <c r="AZ177">
        <v>5139.1303524768573</v>
      </c>
      <c r="BA177" s="42">
        <v>-0.83</v>
      </c>
      <c r="BB177" s="38">
        <v>-0.93</v>
      </c>
      <c r="BC177" s="23">
        <v>2.5</v>
      </c>
    </row>
    <row r="178" spans="1:55" ht="15" thickBot="1">
      <c r="A178" s="20">
        <v>44256</v>
      </c>
      <c r="B178" s="3">
        <v>7.411962365591398</v>
      </c>
      <c r="C178" s="3">
        <v>6.129704301075269</v>
      </c>
      <c r="D178" s="3">
        <v>5.0288978494623677</v>
      </c>
      <c r="E178" s="3">
        <v>3.65994623655914</v>
      </c>
      <c r="F178" s="3">
        <v>2.8533602150537649</v>
      </c>
      <c r="H178" s="6">
        <f t="shared" si="10"/>
        <v>5049.6088283896706</v>
      </c>
      <c r="I178" s="6">
        <f t="shared" si="11"/>
        <v>5.4521791715611467</v>
      </c>
      <c r="J178" s="3">
        <v>5.974462365591398</v>
      </c>
      <c r="K178" s="3">
        <v>4.5838709677419365</v>
      </c>
      <c r="L178" s="3">
        <v>3.911693548387094</v>
      </c>
      <c r="M178" s="3">
        <v>2.7081989247311893</v>
      </c>
      <c r="N178" s="3">
        <v>1.9133064516129048</v>
      </c>
      <c r="P178" s="3">
        <v>91.808064516129178</v>
      </c>
      <c r="Q178" s="3">
        <v>90.569086021505342</v>
      </c>
      <c r="R178" s="3">
        <v>92.75873655913982</v>
      </c>
      <c r="S178" s="3">
        <v>93.751478494623726</v>
      </c>
      <c r="T178" s="3">
        <v>93.360483870967755</v>
      </c>
      <c r="V178" s="3"/>
      <c r="W178" s="3"/>
      <c r="X178" s="3"/>
      <c r="Y178" s="3"/>
      <c r="Z178" s="3"/>
      <c r="AA178" s="3"/>
      <c r="AB178" s="3"/>
      <c r="AC178" s="3">
        <v>3.5483870967741935</v>
      </c>
      <c r="AD178" s="3">
        <v>3.193548387096774</v>
      </c>
      <c r="AE178" s="3">
        <v>2.2903225806451615</v>
      </c>
      <c r="AF178" s="3">
        <v>1.5161290322580645</v>
      </c>
      <c r="AG178" s="3">
        <v>0.66129032258064513</v>
      </c>
      <c r="AH178" s="3"/>
      <c r="AI178" s="6">
        <f t="shared" si="12"/>
        <v>4715.4320689974957</v>
      </c>
      <c r="AJ178" s="6">
        <f t="shared" si="13"/>
        <v>4.0649347584713462</v>
      </c>
      <c r="AK178" s="3">
        <v>3.4290322580645158</v>
      </c>
      <c r="AL178" s="3">
        <v>2.7096774193548381</v>
      </c>
      <c r="AM178" s="3">
        <v>2.1483870967741945</v>
      </c>
      <c r="AN178" s="3">
        <v>0.92903225806451617</v>
      </c>
      <c r="AO178" s="3">
        <v>-1.6129032258064491E-2</v>
      </c>
      <c r="AP178" s="3"/>
      <c r="AQ178" s="3">
        <v>66.612903225806448</v>
      </c>
      <c r="AR178" s="3">
        <v>67.18709677419352</v>
      </c>
      <c r="AS178" s="3">
        <v>70.267741935483883</v>
      </c>
      <c r="AT178" s="3">
        <v>78.82903225806453</v>
      </c>
      <c r="AU178" s="3">
        <v>77.961290322580652</v>
      </c>
      <c r="AV178" s="3"/>
      <c r="AY178" s="20">
        <v>44927</v>
      </c>
      <c r="AZ178">
        <v>5022.0124011411563</v>
      </c>
      <c r="BA178" s="42">
        <v>-0.68</v>
      </c>
      <c r="BB178" s="38">
        <v>-0.84</v>
      </c>
      <c r="BC178" s="23">
        <v>0.6</v>
      </c>
    </row>
    <row r="179" spans="1:55" ht="15" thickBot="1">
      <c r="A179" s="20">
        <v>44287</v>
      </c>
      <c r="B179" s="3">
        <v>8.3402777777777786</v>
      </c>
      <c r="C179" s="3">
        <v>7.1194444444444445</v>
      </c>
      <c r="D179" s="3">
        <v>5.8747222222222195</v>
      </c>
      <c r="E179" s="3">
        <v>4.6479166666666663</v>
      </c>
      <c r="F179" s="3">
        <v>3.7918055555555541</v>
      </c>
      <c r="H179" s="6">
        <f t="shared" si="10"/>
        <v>5218.4578472412149</v>
      </c>
      <c r="I179" s="6">
        <f t="shared" si="11"/>
        <v>5.442963573450041</v>
      </c>
      <c r="J179" s="3">
        <v>6.1738888888888921</v>
      </c>
      <c r="K179" s="3">
        <v>4.5004166666666698</v>
      </c>
      <c r="L179" s="3">
        <v>3.907777777777782</v>
      </c>
      <c r="M179" s="3">
        <v>2.8175000000000026</v>
      </c>
      <c r="N179" s="3">
        <v>1.9718055555555563</v>
      </c>
      <c r="P179" s="3">
        <v>87.861666666666736</v>
      </c>
      <c r="Q179" s="3">
        <v>84.885416666666544</v>
      </c>
      <c r="R179" s="3">
        <v>88.22250000000021</v>
      </c>
      <c r="S179" s="3">
        <v>88.612638888889094</v>
      </c>
      <c r="T179" s="3">
        <v>88.47930555555574</v>
      </c>
      <c r="V179" s="3"/>
      <c r="W179" s="3"/>
      <c r="X179" s="3"/>
      <c r="Y179" s="3"/>
      <c r="Z179" s="3"/>
      <c r="AA179" s="3"/>
      <c r="AB179" s="3"/>
      <c r="AC179" s="3">
        <v>3.3666666666666667</v>
      </c>
      <c r="AD179" s="3">
        <v>3.7666666666666666</v>
      </c>
      <c r="AE179" s="3">
        <v>2.7066666666666666</v>
      </c>
      <c r="AF179" s="3">
        <v>2.1666666666666665</v>
      </c>
      <c r="AG179" s="3">
        <v>1.2566666666666668</v>
      </c>
      <c r="AH179" s="3"/>
      <c r="AI179" s="6">
        <f t="shared" si="12"/>
        <v>4863.0878117609045</v>
      </c>
      <c r="AJ179" s="6">
        <f t="shared" si="13"/>
        <v>3.8987640011780469</v>
      </c>
      <c r="AK179" s="3">
        <v>3.1433333333333349</v>
      </c>
      <c r="AL179" s="3">
        <v>2.7233333333333336</v>
      </c>
      <c r="AM179" s="3">
        <v>2.1633333333333331</v>
      </c>
      <c r="AN179" s="3">
        <v>1.0633333333333332</v>
      </c>
      <c r="AO179" s="3">
        <v>-8.6666666666666711E-2</v>
      </c>
      <c r="AP179" s="3"/>
      <c r="AQ179" s="3">
        <v>59.516666666666666</v>
      </c>
      <c r="AR179" s="3">
        <v>58.599999999999994</v>
      </c>
      <c r="AS179" s="3">
        <v>63.900000000000006</v>
      </c>
      <c r="AT179" s="3">
        <v>71.333333333333329</v>
      </c>
      <c r="AU179" s="3">
        <v>71.213333333333367</v>
      </c>
      <c r="AV179" s="3"/>
      <c r="AY179" s="20">
        <v>44958</v>
      </c>
      <c r="AZ179">
        <v>5155.2818115578566</v>
      </c>
      <c r="BA179" s="41">
        <v>-0.43</v>
      </c>
      <c r="BB179" s="38">
        <v>-0.66</v>
      </c>
      <c r="BC179" s="23">
        <v>0.6</v>
      </c>
    </row>
    <row r="180" spans="1:55" ht="15" thickBot="1">
      <c r="A180" s="20">
        <v>44317</v>
      </c>
      <c r="B180" s="3">
        <v>8.1817073170731707</v>
      </c>
      <c r="C180" s="3">
        <v>7.3373493975903612</v>
      </c>
      <c r="D180" s="3">
        <v>5.8016867469879525</v>
      </c>
      <c r="E180" s="3">
        <v>4.6183574879227054</v>
      </c>
      <c r="F180" s="3">
        <v>3.6963680387409203</v>
      </c>
      <c r="H180" s="6">
        <f t="shared" si="10"/>
        <v>5139.2444675227989</v>
      </c>
      <c r="I180" s="6">
        <f t="shared" si="11"/>
        <v>5.8589993459920819</v>
      </c>
      <c r="J180" s="3">
        <v>4.7351219512195115</v>
      </c>
      <c r="K180" s="3">
        <v>3.2057831325301196</v>
      </c>
      <c r="L180" s="3">
        <v>2.7209638554216875</v>
      </c>
      <c r="M180" s="3">
        <v>1.8210144927536231</v>
      </c>
      <c r="N180" s="3">
        <v>1.062711864406779</v>
      </c>
      <c r="P180" s="3">
        <v>81.338048780487867</v>
      </c>
      <c r="Q180" s="3">
        <v>76.917108433734896</v>
      </c>
      <c r="R180" s="3">
        <v>82.27253012048196</v>
      </c>
      <c r="S180" s="3">
        <v>82.92487922705314</v>
      </c>
      <c r="T180" s="3">
        <v>83.668038740920124</v>
      </c>
      <c r="V180" s="3"/>
      <c r="W180" s="3"/>
      <c r="X180" s="3"/>
      <c r="Y180" s="3"/>
      <c r="Z180" s="3"/>
      <c r="AA180" s="3"/>
      <c r="AB180" s="3"/>
      <c r="AC180" s="3">
        <v>2.6666666666666665</v>
      </c>
      <c r="AD180" s="3">
        <v>3.6666666666666665</v>
      </c>
      <c r="AE180" s="3">
        <v>2.2055555555555557</v>
      </c>
      <c r="AF180" s="3">
        <v>1.8888888888888888</v>
      </c>
      <c r="AG180" s="3">
        <v>0.83333333333333337</v>
      </c>
      <c r="AH180" s="3"/>
      <c r="AI180" s="6">
        <f t="shared" si="12"/>
        <v>4713.8850659834934</v>
      </c>
      <c r="AJ180" s="6">
        <f t="shared" si="13"/>
        <v>4.2282475713346237</v>
      </c>
      <c r="AK180" s="3">
        <v>1.9944444444444445</v>
      </c>
      <c r="AL180" s="3">
        <v>1.2944444444444443</v>
      </c>
      <c r="AM180" s="3">
        <v>0.91111111111111098</v>
      </c>
      <c r="AN180" s="3">
        <v>0</v>
      </c>
      <c r="AO180" s="3">
        <v>-0.94444444444444464</v>
      </c>
      <c r="AP180" s="3"/>
      <c r="AQ180" s="3">
        <v>55.638888888888886</v>
      </c>
      <c r="AR180" s="3">
        <v>53.061111111111117</v>
      </c>
      <c r="AS180" s="3">
        <v>55.92777777777777</v>
      </c>
      <c r="AT180" s="3">
        <v>64.36666666666666</v>
      </c>
      <c r="AU180" s="3">
        <v>64.838888888888903</v>
      </c>
      <c r="AV180" s="3"/>
      <c r="AY180" s="20">
        <v>44986</v>
      </c>
      <c r="AZ180">
        <v>5012.6689149427384</v>
      </c>
      <c r="BA180" s="41">
        <v>-0.15</v>
      </c>
      <c r="BB180" s="41">
        <v>-0.48</v>
      </c>
      <c r="BC180" s="23">
        <v>0.8</v>
      </c>
    </row>
    <row r="181" spans="1:55" ht="15" thickBot="1">
      <c r="A181" s="20">
        <v>44348</v>
      </c>
      <c r="B181" s="3"/>
      <c r="H181" s="6"/>
      <c r="I181" s="6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6"/>
      <c r="AJ181" s="6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Y181" s="20">
        <v>45017</v>
      </c>
      <c r="AZ181">
        <v>5129.4303684836495</v>
      </c>
      <c r="BA181" s="41">
        <v>0.16</v>
      </c>
      <c r="BB181" s="41">
        <v>-0.38</v>
      </c>
      <c r="BC181" s="23">
        <v>0.7</v>
      </c>
    </row>
    <row r="182" spans="1:55" ht="15" thickBot="1">
      <c r="A182" s="20">
        <v>44378</v>
      </c>
      <c r="B182" s="3"/>
      <c r="H182" s="6"/>
      <c r="I182" s="6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6"/>
      <c r="AJ182" s="6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Y182" s="20">
        <v>45047</v>
      </c>
      <c r="AZ182">
        <v>5220.2030307218047</v>
      </c>
      <c r="BA182" s="41">
        <v>0.48</v>
      </c>
      <c r="BB182" s="41">
        <v>-0.4</v>
      </c>
      <c r="BC182" s="23">
        <v>2.2999999999999998</v>
      </c>
    </row>
    <row r="183" spans="1:55" ht="15" thickBot="1">
      <c r="A183" s="20">
        <v>44409</v>
      </c>
      <c r="B183" s="3"/>
      <c r="H183" s="6"/>
      <c r="I183" s="6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6"/>
      <c r="AJ183" s="6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Y183" s="20">
        <v>45078</v>
      </c>
      <c r="AZ183">
        <v>5120.6759981760679</v>
      </c>
      <c r="BA183" s="43">
        <v>0.77</v>
      </c>
      <c r="BB183" s="41">
        <v>-0.49</v>
      </c>
      <c r="BC183" s="23">
        <v>1</v>
      </c>
    </row>
    <row r="184" spans="1:55" ht="15" thickBot="1">
      <c r="A184" s="20">
        <v>44440</v>
      </c>
      <c r="B184" s="3"/>
      <c r="H184" s="6"/>
      <c r="I184" s="6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6"/>
      <c r="AJ184" s="6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Y184" s="20">
        <v>45108</v>
      </c>
      <c r="AZ184">
        <v>5137.3960766468235</v>
      </c>
      <c r="BA184" s="43">
        <v>1.07</v>
      </c>
      <c r="BB184" s="42">
        <v>-0.68</v>
      </c>
      <c r="BC184" s="23">
        <v>1.3</v>
      </c>
    </row>
    <row r="185" spans="1:55" ht="15" thickBot="1">
      <c r="A185" s="20">
        <v>44470</v>
      </c>
      <c r="B185" s="3"/>
      <c r="H185" s="6"/>
      <c r="I185" s="6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6"/>
      <c r="AJ185" s="6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Y185" s="20">
        <v>45139</v>
      </c>
      <c r="AZ185">
        <v>5200.9552011922588</v>
      </c>
      <c r="BA185" s="43">
        <v>1.32</v>
      </c>
      <c r="BB185" s="42">
        <v>-0.81</v>
      </c>
      <c r="BC185" s="23">
        <v>1.2</v>
      </c>
    </row>
    <row r="186" spans="1:55" ht="15" thickBot="1">
      <c r="A186" s="20">
        <v>44501</v>
      </c>
      <c r="B186" s="3"/>
      <c r="H186" s="6"/>
      <c r="I186" s="6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6"/>
      <c r="AJ186" s="6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Y186" s="20">
        <v>45170</v>
      </c>
      <c r="AZ186">
        <v>5181.1446458153814</v>
      </c>
      <c r="BA186" s="43">
        <v>1.56</v>
      </c>
      <c r="BB186" s="42">
        <v>-0.98</v>
      </c>
      <c r="BC186" s="23">
        <v>1.6</v>
      </c>
    </row>
    <row r="187" spans="1:55" ht="15" thickBot="1">
      <c r="A187" s="20">
        <v>44531</v>
      </c>
      <c r="B187" s="3"/>
      <c r="H187" s="6"/>
      <c r="I187" s="6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6"/>
      <c r="AJ187" s="6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Y187" s="20">
        <v>45200</v>
      </c>
      <c r="AZ187">
        <v>5201.3710679935757</v>
      </c>
      <c r="BA187" s="43">
        <v>1.78</v>
      </c>
      <c r="BB187" s="42">
        <v>-0.99</v>
      </c>
      <c r="BC187" s="23">
        <v>2.5</v>
      </c>
    </row>
    <row r="188" spans="1:55" ht="15" thickBot="1">
      <c r="A188" s="20">
        <v>44562</v>
      </c>
      <c r="B188" s="3"/>
      <c r="H188" s="6"/>
      <c r="I188" s="6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6"/>
      <c r="AJ188" s="6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Y188" s="20">
        <v>45231</v>
      </c>
      <c r="AZ188">
        <v>5261.3987760997306</v>
      </c>
      <c r="BA188" s="43">
        <v>1.92</v>
      </c>
      <c r="BB188" s="42">
        <v>-0.97</v>
      </c>
      <c r="BC188" s="23">
        <v>0.8</v>
      </c>
    </row>
    <row r="189" spans="1:55" ht="15" thickBot="1">
      <c r="A189" s="20">
        <v>44593</v>
      </c>
      <c r="B189" s="3"/>
      <c r="H189" s="6"/>
      <c r="I189" s="6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6"/>
      <c r="AJ189" s="6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Y189" s="20">
        <v>45261</v>
      </c>
      <c r="AZ189">
        <v>5352.7740488071049</v>
      </c>
      <c r="BA189" s="43">
        <v>1.95</v>
      </c>
      <c r="BB189" s="42">
        <v>-0.93</v>
      </c>
      <c r="BC189" s="23">
        <v>1.8</v>
      </c>
    </row>
    <row r="190" spans="1:55" ht="15" thickBot="1">
      <c r="A190" s="20">
        <v>44621</v>
      </c>
      <c r="B190" s="3"/>
      <c r="H190" s="6"/>
      <c r="I190" s="6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6"/>
      <c r="AJ190" s="6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Y190" s="20">
        <v>45292</v>
      </c>
      <c r="AZ190">
        <v>5385.0919086413651</v>
      </c>
      <c r="BA190" s="43">
        <v>1.79</v>
      </c>
      <c r="BB190" s="42">
        <v>-0.99</v>
      </c>
      <c r="BC190" s="23">
        <v>2.9</v>
      </c>
    </row>
    <row r="191" spans="1:55" ht="15" thickBot="1">
      <c r="A191" s="20">
        <v>44652</v>
      </c>
      <c r="B191" s="3"/>
      <c r="H191" s="6"/>
      <c r="I191" s="6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6"/>
      <c r="AJ191" s="6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Y191" s="20">
        <v>45323</v>
      </c>
      <c r="AZ191">
        <v>5268.217532990685</v>
      </c>
      <c r="BA191" s="43">
        <v>1.49</v>
      </c>
      <c r="BB191" s="42">
        <v>-1.06</v>
      </c>
      <c r="BC191" s="23">
        <v>2.8</v>
      </c>
    </row>
    <row r="192" spans="1:55" ht="15" thickBot="1">
      <c r="A192" s="20">
        <v>44682</v>
      </c>
      <c r="B192" s="3">
        <v>7.6465927099841524</v>
      </c>
      <c r="C192" s="3">
        <v>7.2914691943127963</v>
      </c>
      <c r="D192" s="3">
        <v>5.851184834123222</v>
      </c>
      <c r="E192" s="3">
        <v>4.5118483412322279</v>
      </c>
      <c r="F192" s="3">
        <v>3.7845425867507894</v>
      </c>
      <c r="H192" s="6">
        <f t="shared" si="10"/>
        <v>5152.173235008041</v>
      </c>
      <c r="I192" s="6">
        <f t="shared" si="11"/>
        <v>5.7482243962752859</v>
      </c>
      <c r="J192" s="3">
        <v>4.4904912836767092</v>
      </c>
      <c r="K192" s="3">
        <v>2.7539556962025311</v>
      </c>
      <c r="L192" s="3">
        <v>2.0900473933649284</v>
      </c>
      <c r="M192" s="3">
        <v>1.1830963665086891</v>
      </c>
      <c r="N192" s="3">
        <v>0.66671924290220796</v>
      </c>
      <c r="P192" s="3">
        <v>83.133280507131516</v>
      </c>
      <c r="Q192" s="3">
        <v>75.57246835443047</v>
      </c>
      <c r="R192" s="3">
        <v>79.329699842022151</v>
      </c>
      <c r="S192" s="3">
        <v>80.593206951026787</v>
      </c>
      <c r="T192" s="3">
        <v>81.527129337539392</v>
      </c>
      <c r="V192" s="3">
        <v>0.42467366598822298</v>
      </c>
      <c r="W192" s="3">
        <v>0.42467366598822298</v>
      </c>
      <c r="X192" s="3">
        <v>195.919103338632</v>
      </c>
      <c r="Y192" s="3">
        <v>19.559000000000001</v>
      </c>
      <c r="Z192" s="3">
        <v>7.76837360890302</v>
      </c>
      <c r="AA192" s="3">
        <v>4.17869634340222</v>
      </c>
      <c r="AB192" s="3"/>
      <c r="AC192" s="3">
        <v>1.6666666666666667</v>
      </c>
      <c r="AD192" s="3">
        <v>3.5</v>
      </c>
      <c r="AE192" s="3">
        <v>1.7777777777777777</v>
      </c>
      <c r="AF192" s="3">
        <v>1.8148148148148149</v>
      </c>
      <c r="AG192" s="3">
        <v>1.1481481481481481</v>
      </c>
      <c r="AH192" s="3"/>
      <c r="AI192" s="6">
        <f t="shared" ref="AI192:AI217" si="14">INTERCEPT($C$2:$F$2,AD192:AG192)</f>
        <v>4719.6636632408845</v>
      </c>
      <c r="AJ192" s="6">
        <f t="shared" ref="AJ192:AJ217" si="15">-SLOPE(AD192:AG192,$C$2:$F$2)*1000</f>
        <v>3.3113206119789877</v>
      </c>
      <c r="AK192" s="3">
        <v>1.3037037037037036</v>
      </c>
      <c r="AL192" s="3">
        <v>0.58518518518518525</v>
      </c>
      <c r="AM192" s="3">
        <v>-5.1851851851851913E-2</v>
      </c>
      <c r="AN192" s="3">
        <v>-0.77407407407407391</v>
      </c>
      <c r="AO192" s="3">
        <v>-1.5925925925925923</v>
      </c>
      <c r="AP192" s="3"/>
      <c r="AQ192" s="3">
        <v>53.070370370370377</v>
      </c>
      <c r="AR192" s="3">
        <v>47.11851851851852</v>
      </c>
      <c r="AS192" s="3">
        <v>50.322222222222216</v>
      </c>
      <c r="AT192" s="3">
        <v>58.759259259259267</v>
      </c>
      <c r="AU192" s="3">
        <v>59.640740740740739</v>
      </c>
      <c r="AV192" s="3"/>
      <c r="AY192" s="20">
        <v>45352</v>
      </c>
      <c r="AZ192">
        <v>5308.2962832495832</v>
      </c>
      <c r="BA192" s="43">
        <v>1.1399999999999999</v>
      </c>
      <c r="BB192" s="42">
        <v>-0.99</v>
      </c>
      <c r="BC192" s="23">
        <v>2.4</v>
      </c>
    </row>
    <row r="193" spans="1:55" ht="15" thickBot="1">
      <c r="A193" s="20">
        <v>44713</v>
      </c>
      <c r="B193" s="3">
        <v>6.4145833333333337</v>
      </c>
      <c r="C193" s="3">
        <v>6.822222222222222</v>
      </c>
      <c r="D193" s="3">
        <v>5.1048611111111093</v>
      </c>
      <c r="E193" s="3">
        <v>3.8416666666666668</v>
      </c>
      <c r="F193" s="3">
        <v>3.1666666666666661</v>
      </c>
      <c r="H193" s="6">
        <f t="shared" si="10"/>
        <v>5007.1907959125474</v>
      </c>
      <c r="I193" s="6">
        <f t="shared" si="11"/>
        <v>5.9047933087801416</v>
      </c>
      <c r="J193" s="3">
        <v>1.6769444444444417</v>
      </c>
      <c r="K193" s="3">
        <v>-0.59833333333333316</v>
      </c>
      <c r="L193" s="3">
        <v>-1.1530555555555562</v>
      </c>
      <c r="M193" s="3">
        <v>-1.8420833333333313</v>
      </c>
      <c r="N193" s="3">
        <v>-2.4281944444444461</v>
      </c>
      <c r="P193" s="3">
        <v>75.942499999999896</v>
      </c>
      <c r="Q193" s="3">
        <v>63.595416666666736</v>
      </c>
      <c r="R193" s="3">
        <v>68.391666666666666</v>
      </c>
      <c r="S193" s="3">
        <v>69.903333333333023</v>
      </c>
      <c r="T193" s="3">
        <v>70.346249999999898</v>
      </c>
      <c r="V193" s="3">
        <v>0.23226927624583699</v>
      </c>
      <c r="W193" s="3">
        <v>0.23226927624583699</v>
      </c>
      <c r="X193" s="3">
        <v>192.93905000000001</v>
      </c>
      <c r="Y193" s="3">
        <v>8.3819999999999997</v>
      </c>
      <c r="Z193" s="3">
        <v>6.6027097222222197</v>
      </c>
      <c r="AA193" s="3">
        <v>1.4268055555555501</v>
      </c>
      <c r="AB193" s="3"/>
      <c r="AC193" s="3">
        <v>0.33333333333333331</v>
      </c>
      <c r="AD193" s="3">
        <v>2.5666666666666669</v>
      </c>
      <c r="AE193" s="3">
        <v>0.3</v>
      </c>
      <c r="AF193" s="3">
        <v>0.6333333333333333</v>
      </c>
      <c r="AG193" s="3">
        <v>-0.13333333333333333</v>
      </c>
      <c r="AH193" s="3"/>
      <c r="AI193" s="6">
        <f t="shared" si="14"/>
        <v>4398.7727894702548</v>
      </c>
      <c r="AJ193" s="6">
        <f t="shared" si="15"/>
        <v>3.6275599552849007</v>
      </c>
      <c r="AK193" s="3">
        <v>-1.1766666666666665</v>
      </c>
      <c r="AL193" s="3">
        <v>-2.8533333333333331</v>
      </c>
      <c r="AM193" s="3">
        <v>-3.4399999999999995</v>
      </c>
      <c r="AN193" s="3">
        <v>-4.0433333333333339</v>
      </c>
      <c r="AO193" s="3">
        <v>-5.0266666666666682</v>
      </c>
      <c r="AP193" s="3"/>
      <c r="AQ193" s="3">
        <v>44.569999999999986</v>
      </c>
      <c r="AR193" s="3">
        <v>38.340000000000003</v>
      </c>
      <c r="AS193" s="3">
        <v>41.190000000000005</v>
      </c>
      <c r="AT193" s="3">
        <v>49.539999999999985</v>
      </c>
      <c r="AU193" s="3">
        <v>48.489999999999988</v>
      </c>
      <c r="AV193" s="3"/>
      <c r="AY193" s="20">
        <v>45383</v>
      </c>
      <c r="AZ193">
        <v>5369.2479331533732</v>
      </c>
      <c r="BA193" s="43">
        <v>0.71</v>
      </c>
      <c r="BB193" s="42">
        <v>-0.85</v>
      </c>
      <c r="BC193" s="23">
        <v>2.8</v>
      </c>
    </row>
    <row r="194" spans="1:55" ht="16.2" customHeight="1" thickBot="1">
      <c r="A194" s="20">
        <v>44743</v>
      </c>
      <c r="B194" s="3">
        <v>7.520161290322581</v>
      </c>
      <c r="C194" s="3">
        <v>7.928091397849462</v>
      </c>
      <c r="D194" s="3">
        <v>5.8576612903225813</v>
      </c>
      <c r="E194" s="3">
        <v>4.547715053763441</v>
      </c>
      <c r="F194" s="3">
        <v>3.8184139784946218</v>
      </c>
      <c r="H194" s="6">
        <f t="shared" si="10"/>
        <v>5033.3754613501924</v>
      </c>
      <c r="I194" s="6">
        <f t="shared" si="11"/>
        <v>6.5697252971599926</v>
      </c>
      <c r="J194" s="3">
        <v>-0.30900537634408659</v>
      </c>
      <c r="K194" s="3">
        <v>-3.4618279569892474</v>
      </c>
      <c r="L194" s="3">
        <v>-3.8356182795698945</v>
      </c>
      <c r="M194" s="3">
        <v>-4.2802419354838754</v>
      </c>
      <c r="N194" s="3">
        <v>-4.9342741935483891</v>
      </c>
      <c r="P194" s="3">
        <v>62.997446236559156</v>
      </c>
      <c r="Q194" s="3">
        <v>48.929973118279563</v>
      </c>
      <c r="R194" s="3">
        <v>54.506182795698798</v>
      </c>
      <c r="S194" s="3">
        <v>57.006048387096605</v>
      </c>
      <c r="T194" s="3">
        <v>57.586290322580453</v>
      </c>
      <c r="V194" s="3">
        <v>0.64044187190892099</v>
      </c>
      <c r="W194" s="3">
        <v>0.64044187190892099</v>
      </c>
      <c r="X194" s="3">
        <v>197.03540053763399</v>
      </c>
      <c r="Y194" s="3">
        <v>1.778</v>
      </c>
      <c r="Z194" s="3">
        <v>7.5772338709677403</v>
      </c>
      <c r="AA194" s="3">
        <v>-0.46935483870967698</v>
      </c>
      <c r="AB194" s="3"/>
      <c r="AC194" s="3">
        <v>0.30645161290322581</v>
      </c>
      <c r="AD194" s="3">
        <v>3.7903225806451615</v>
      </c>
      <c r="AE194" s="3">
        <v>1.064516129032258</v>
      </c>
      <c r="AF194" s="3">
        <v>1.0483870967741935</v>
      </c>
      <c r="AG194" s="3">
        <v>5.4838709677419363E-2</v>
      </c>
      <c r="AH194" s="3"/>
      <c r="AI194" s="6">
        <f t="shared" si="14"/>
        <v>4463.0079677559561</v>
      </c>
      <c r="AJ194" s="6">
        <f t="shared" si="15"/>
        <v>5.2983899315635874</v>
      </c>
      <c r="AK194" s="3">
        <v>-3.4419354838709673</v>
      </c>
      <c r="AL194" s="3">
        <v>-6.3935483870967742</v>
      </c>
      <c r="AM194" s="3">
        <v>-6.6354838709677448</v>
      </c>
      <c r="AN194" s="3">
        <v>-7.2258064516129012</v>
      </c>
      <c r="AO194" s="3">
        <v>-8.1903225806451605</v>
      </c>
      <c r="AP194" s="3"/>
      <c r="AQ194" s="3">
        <v>34.658064516129031</v>
      </c>
      <c r="AR194" s="3">
        <v>30.196774193548382</v>
      </c>
      <c r="AS194" s="3">
        <v>32.961290322580652</v>
      </c>
      <c r="AT194" s="3">
        <v>39.193548387096762</v>
      </c>
      <c r="AU194" s="3">
        <v>38.567741935483859</v>
      </c>
      <c r="AV194" s="3"/>
      <c r="AY194" s="20">
        <v>45413</v>
      </c>
      <c r="AZ194">
        <v>5369.5746714749675</v>
      </c>
      <c r="BA194" s="41">
        <v>0.4</v>
      </c>
      <c r="BB194" s="42">
        <v>-0.81</v>
      </c>
      <c r="BC194" s="23">
        <v>1.3</v>
      </c>
    </row>
    <row r="195" spans="1:55" ht="15" thickBot="1">
      <c r="A195" s="20">
        <v>44774</v>
      </c>
      <c r="B195" s="3">
        <v>7.335349462365591</v>
      </c>
      <c r="C195" s="3">
        <v>7.5268817204301079</v>
      </c>
      <c r="D195" s="3">
        <v>5.8116935483870966</v>
      </c>
      <c r="E195" s="3">
        <v>4.5141129032258061</v>
      </c>
      <c r="F195" s="3">
        <v>3.7607526881720426</v>
      </c>
      <c r="H195" s="6">
        <f t="shared" si="10"/>
        <v>5095.9171349687949</v>
      </c>
      <c r="I195" s="6">
        <f t="shared" si="11"/>
        <v>6.0863432667418325</v>
      </c>
      <c r="J195" s="3">
        <v>1.3197580645161271</v>
      </c>
      <c r="K195" s="3">
        <v>-1.2762096774193548</v>
      </c>
      <c r="L195" s="3">
        <v>-1.7317204301075304</v>
      </c>
      <c r="M195" s="3">
        <v>-2.20497311827957</v>
      </c>
      <c r="N195" s="3">
        <v>-2.9139784946236564</v>
      </c>
      <c r="P195" s="3">
        <v>70.872983870967815</v>
      </c>
      <c r="Q195" s="3">
        <v>58.084005376344166</v>
      </c>
      <c r="R195" s="3">
        <v>63.193682795698855</v>
      </c>
      <c r="S195" s="3">
        <v>65.637634408602054</v>
      </c>
      <c r="T195" s="3">
        <v>66.25954301075258</v>
      </c>
      <c r="V195" s="3">
        <v>2.92100808417909E-2</v>
      </c>
      <c r="W195" s="3">
        <v>2.92100808417909E-2</v>
      </c>
      <c r="X195" s="3">
        <v>220.51423252688099</v>
      </c>
      <c r="Y195" s="3">
        <v>2.794</v>
      </c>
      <c r="Z195" s="3">
        <v>7.4506680107526799</v>
      </c>
      <c r="AA195" s="3">
        <v>1.1795698924731099</v>
      </c>
      <c r="AB195" s="3"/>
      <c r="AC195" s="3">
        <v>-0.16129032258064516</v>
      </c>
      <c r="AD195" s="3">
        <v>2.8548387096774195</v>
      </c>
      <c r="AE195" s="3">
        <v>0.74193548387096775</v>
      </c>
      <c r="AF195" s="3">
        <v>1.0483870967741935</v>
      </c>
      <c r="AG195" s="3">
        <v>0.1903225806451613</v>
      </c>
      <c r="AH195" s="3"/>
      <c r="AI195" s="6">
        <f t="shared" si="14"/>
        <v>4477.7494059349783</v>
      </c>
      <c r="AJ195" s="6">
        <f t="shared" si="15"/>
        <v>3.6025116540490449</v>
      </c>
      <c r="AK195" s="3">
        <v>-1.3774193548387095</v>
      </c>
      <c r="AL195" s="3">
        <v>-3.987096774193549</v>
      </c>
      <c r="AM195" s="3">
        <v>-4.1419354838709683</v>
      </c>
      <c r="AN195" s="3">
        <v>-4.7612903225806447</v>
      </c>
      <c r="AO195" s="3">
        <v>-5.8258064516129036</v>
      </c>
      <c r="AP195" s="3"/>
      <c r="AQ195" s="3">
        <v>35.777419354838706</v>
      </c>
      <c r="AR195" s="3">
        <v>33.758064516129032</v>
      </c>
      <c r="AS195" s="3">
        <v>36.603225806451611</v>
      </c>
      <c r="AT195" s="3">
        <v>44.29354838709677</v>
      </c>
      <c r="AU195" s="3">
        <v>43.86451612903226</v>
      </c>
      <c r="AV195" s="3"/>
      <c r="AY195" s="20">
        <v>45444</v>
      </c>
      <c r="AZ195">
        <v>5222.8134502464009</v>
      </c>
      <c r="BA195" s="41">
        <v>0.15</v>
      </c>
      <c r="BB195" s="42">
        <v>-0.91</v>
      </c>
      <c r="BC195" s="23">
        <v>1.7</v>
      </c>
    </row>
    <row r="196" spans="1:55" ht="15" thickBot="1">
      <c r="A196" s="20">
        <v>44805</v>
      </c>
      <c r="B196" s="3">
        <v>7.6722222222222225</v>
      </c>
      <c r="C196" s="3">
        <v>7.4819444444444443</v>
      </c>
      <c r="D196" s="3">
        <v>6.0327777777777767</v>
      </c>
      <c r="E196" s="3">
        <v>4.6243055555555559</v>
      </c>
      <c r="F196" s="3">
        <v>3.8951388888888903</v>
      </c>
      <c r="H196" s="6">
        <f t="shared" ref="H196:H216" si="16">INTERCEPT($C$2:$F$2,C196:F196)</f>
        <v>5153.869885860915</v>
      </c>
      <c r="I196" s="6">
        <f t="shared" ref="I196:I217" si="17">-SLOPE(C196:F196,$C$2:$F$2)*1000</f>
        <v>5.9009476360427318</v>
      </c>
      <c r="J196" s="3">
        <v>3.0806944444444468</v>
      </c>
      <c r="K196" s="3">
        <v>0.82125000000000037</v>
      </c>
      <c r="L196" s="3">
        <v>0.26750000000000013</v>
      </c>
      <c r="M196" s="3">
        <v>-0.43624999999999947</v>
      </c>
      <c r="N196" s="3">
        <v>-0.96277777777777718</v>
      </c>
      <c r="P196" s="3">
        <v>77.391111111111186</v>
      </c>
      <c r="Q196" s="3">
        <v>67.085833333333383</v>
      </c>
      <c r="R196" s="3">
        <v>70.767499999999984</v>
      </c>
      <c r="S196" s="3">
        <v>72.965694444444324</v>
      </c>
      <c r="T196" s="3">
        <v>73.811249999999845</v>
      </c>
      <c r="V196" s="3">
        <v>0.24279001328811001</v>
      </c>
      <c r="W196" s="3">
        <v>0.24279001328811001</v>
      </c>
      <c r="X196" s="3">
        <v>207.59594999999999</v>
      </c>
      <c r="Y196" s="3">
        <v>39.372</v>
      </c>
      <c r="Z196" s="3">
        <v>7.7520027777777702</v>
      </c>
      <c r="AA196" s="3">
        <v>2.8544444444444399</v>
      </c>
      <c r="AB196" s="3"/>
      <c r="AC196" s="3">
        <v>1.1833333333333333</v>
      </c>
      <c r="AD196" s="3">
        <v>3.15</v>
      </c>
      <c r="AE196" s="3">
        <v>1.4166666666666667</v>
      </c>
      <c r="AF196" s="3">
        <v>1.1499999999999999</v>
      </c>
      <c r="AG196" s="3">
        <v>0.50666666666666671</v>
      </c>
      <c r="AH196" s="3"/>
      <c r="AI196" s="6">
        <f t="shared" si="14"/>
        <v>4581.5648509866587</v>
      </c>
      <c r="AJ196" s="6">
        <f t="shared" si="15"/>
        <v>3.896673918619785</v>
      </c>
      <c r="AK196" s="3">
        <v>0.55000000000000027</v>
      </c>
      <c r="AL196" s="3">
        <v>-1.4399999999999997</v>
      </c>
      <c r="AM196" s="3">
        <v>-1.7900000000000005</v>
      </c>
      <c r="AN196" s="3">
        <v>-2.4233333333333333</v>
      </c>
      <c r="AO196" s="3">
        <v>-3.1700000000000004</v>
      </c>
      <c r="AP196" s="3"/>
      <c r="AQ196" s="3">
        <v>42.526666666666664</v>
      </c>
      <c r="AR196" s="3">
        <v>38.636666666666663</v>
      </c>
      <c r="AS196" s="3">
        <v>41.136666666666663</v>
      </c>
      <c r="AT196" s="3">
        <v>48.376666666666672</v>
      </c>
      <c r="AU196" s="3">
        <v>48.173333333333325</v>
      </c>
      <c r="AV196" s="3"/>
      <c r="AY196" s="20">
        <v>45474</v>
      </c>
      <c r="BA196" s="41"/>
      <c r="BB196" s="42">
        <v>-1.01</v>
      </c>
      <c r="BC196" s="23">
        <v>2.7</v>
      </c>
    </row>
    <row r="197" spans="1:55" ht="15" thickBot="1">
      <c r="A197" s="20">
        <v>44835</v>
      </c>
      <c r="B197" s="3">
        <v>7.9213709677419351</v>
      </c>
      <c r="C197" s="3">
        <v>7.3891129032258061</v>
      </c>
      <c r="D197" s="3">
        <v>5.9716397849462348</v>
      </c>
      <c r="E197" s="3">
        <v>4.726478494623656</v>
      </c>
      <c r="F197" s="3">
        <v>4.0774193548387068</v>
      </c>
      <c r="H197" s="6">
        <f t="shared" si="16"/>
        <v>5233.6300340767812</v>
      </c>
      <c r="I197" s="6">
        <f t="shared" si="17"/>
        <v>5.4130699318537081</v>
      </c>
      <c r="J197" s="3">
        <v>3.8381720430107555</v>
      </c>
      <c r="K197" s="3">
        <v>2.4403225806451592</v>
      </c>
      <c r="L197" s="3">
        <v>1.887903225806449</v>
      </c>
      <c r="M197" s="3">
        <v>1.1641129032258068</v>
      </c>
      <c r="N197" s="3">
        <v>0.56196236559139801</v>
      </c>
      <c r="P197" s="3">
        <v>79.193145161290431</v>
      </c>
      <c r="Q197" s="3">
        <v>73.629032258064498</v>
      </c>
      <c r="R197" s="3">
        <v>77.822446236559159</v>
      </c>
      <c r="S197" s="3">
        <v>79.803763440860067</v>
      </c>
      <c r="T197" s="3">
        <v>80.111827956989146</v>
      </c>
      <c r="V197" s="3">
        <v>0.26065744202553498</v>
      </c>
      <c r="W197" s="3">
        <v>0.26065744202553498</v>
      </c>
      <c r="X197" s="3">
        <v>220.145064516129</v>
      </c>
      <c r="Y197" s="3">
        <v>23.114000000000001</v>
      </c>
      <c r="Z197" s="3">
        <v>8.0070349462365602</v>
      </c>
      <c r="AA197" s="3">
        <v>3.5465053763440801</v>
      </c>
      <c r="AB197" s="3"/>
      <c r="AC197" s="3">
        <v>1.8387096774193548</v>
      </c>
      <c r="AD197" s="3">
        <v>3.2903225806451615</v>
      </c>
      <c r="AE197" s="3">
        <v>1.7096774193548387</v>
      </c>
      <c r="AF197" s="3">
        <v>1.532258064516129</v>
      </c>
      <c r="AG197" s="3">
        <v>0.88387096774193552</v>
      </c>
      <c r="AH197" s="3"/>
      <c r="AI197" s="6">
        <f t="shared" si="14"/>
        <v>4686.4013452485979</v>
      </c>
      <c r="AJ197" s="6">
        <f t="shared" si="15"/>
        <v>3.514020255412992</v>
      </c>
      <c r="AK197" s="3">
        <v>1.1451612903225805</v>
      </c>
      <c r="AL197" s="3">
        <v>0.5258064516129034</v>
      </c>
      <c r="AM197" s="3">
        <v>-6.4516129032258411E-3</v>
      </c>
      <c r="AN197" s="3">
        <v>-0.73225806451612907</v>
      </c>
      <c r="AO197" s="3">
        <v>-1.5387096774193549</v>
      </c>
      <c r="AP197" s="3"/>
      <c r="AQ197" s="3">
        <v>44.822580645161281</v>
      </c>
      <c r="AR197" s="3">
        <v>45.248387096774202</v>
      </c>
      <c r="AS197" s="3">
        <v>49.374193548387083</v>
      </c>
      <c r="AT197" s="3">
        <v>57.751612903225791</v>
      </c>
      <c r="AU197" s="3">
        <v>55.587096774193547</v>
      </c>
      <c r="AV197" s="3"/>
      <c r="AY197" s="20">
        <v>45505</v>
      </c>
      <c r="BA197" s="41"/>
      <c r="BB197" s="42">
        <v>-0.99</v>
      </c>
      <c r="BC197" s="23">
        <v>2.8</v>
      </c>
    </row>
    <row r="198" spans="1:55" ht="15" thickBot="1">
      <c r="A198" s="20">
        <v>44866</v>
      </c>
      <c r="B198" s="3">
        <v>8.2208333333333332</v>
      </c>
      <c r="C198" s="3">
        <v>7.6131944444444448</v>
      </c>
      <c r="D198" s="3">
        <v>6.0180555555555566</v>
      </c>
      <c r="E198" s="3">
        <v>4.9284722222222221</v>
      </c>
      <c r="F198" s="3">
        <v>4.3858333333333333</v>
      </c>
      <c r="H198" s="6">
        <f t="shared" si="16"/>
        <v>5279.691939253592</v>
      </c>
      <c r="I198" s="6">
        <f t="shared" si="17"/>
        <v>5.1929737335735888</v>
      </c>
      <c r="J198" s="3">
        <v>3.1661111111111135</v>
      </c>
      <c r="K198" s="3">
        <v>1.6429166666666675</v>
      </c>
      <c r="L198" s="3">
        <v>1.0708333333333315</v>
      </c>
      <c r="M198" s="3">
        <v>0.40166666666666695</v>
      </c>
      <c r="N198" s="3">
        <v>-0.22291666666666668</v>
      </c>
      <c r="P198" s="3">
        <v>74.736250000000226</v>
      </c>
      <c r="Q198" s="3">
        <v>69.00472222222227</v>
      </c>
      <c r="R198" s="3">
        <v>73.685972222222148</v>
      </c>
      <c r="S198" s="3">
        <v>74.935694444444465</v>
      </c>
      <c r="T198" s="3">
        <v>74.526388888888789</v>
      </c>
      <c r="V198" s="3">
        <v>0.22666798472882599</v>
      </c>
      <c r="W198" s="3">
        <v>0.22666798472882599</v>
      </c>
      <c r="X198" s="3">
        <v>232.82381111111101</v>
      </c>
      <c r="Y198" s="3">
        <v>24.64</v>
      </c>
      <c r="Z198" s="3">
        <v>8.2095861111111095</v>
      </c>
      <c r="AA198" s="3">
        <v>2.8861111111111102</v>
      </c>
      <c r="AB198" s="3"/>
      <c r="AC198" s="3">
        <v>1.45</v>
      </c>
      <c r="AD198" s="3">
        <v>3.1</v>
      </c>
      <c r="AE198" s="3">
        <v>1.35</v>
      </c>
      <c r="AF198" s="3">
        <v>1.2</v>
      </c>
      <c r="AG198" s="3">
        <v>0.39666666666666661</v>
      </c>
      <c r="AH198" s="3"/>
      <c r="AI198" s="6">
        <f t="shared" si="14"/>
        <v>4569.1373426237797</v>
      </c>
      <c r="AJ198" s="6">
        <f t="shared" si="15"/>
        <v>3.9247950294036618</v>
      </c>
      <c r="AK198" s="3">
        <v>0.39</v>
      </c>
      <c r="AL198" s="3">
        <v>-0.81333333333333357</v>
      </c>
      <c r="AM198" s="3">
        <v>-1.3266666666666671</v>
      </c>
      <c r="AN198" s="3">
        <v>-2.1533333333333338</v>
      </c>
      <c r="AO198" s="3">
        <v>-3.4333333333333327</v>
      </c>
      <c r="AP198" s="3"/>
      <c r="AQ198" s="3">
        <v>40.50333333333333</v>
      </c>
      <c r="AR198" s="3">
        <v>42.253333333333337</v>
      </c>
      <c r="AS198" s="3">
        <v>44.566666666666677</v>
      </c>
      <c r="AT198" s="3">
        <v>50.843333333333341</v>
      </c>
      <c r="AU198" s="3">
        <v>47.903333333333336</v>
      </c>
      <c r="AV198" s="3"/>
      <c r="AY198" s="20">
        <v>45536</v>
      </c>
      <c r="BA198" s="41"/>
      <c r="BB198" s="42">
        <v>-0.92</v>
      </c>
      <c r="BC198" s="23">
        <v>0.5</v>
      </c>
    </row>
    <row r="199" spans="1:55" ht="15" thickBot="1">
      <c r="A199" s="20">
        <v>44896</v>
      </c>
      <c r="B199" s="3">
        <v>7.479838709677419</v>
      </c>
      <c r="C199" s="3">
        <v>6.765456989247312</v>
      </c>
      <c r="D199" s="3">
        <v>5.5403225806451575</v>
      </c>
      <c r="E199" s="3">
        <v>4.144489247311828</v>
      </c>
      <c r="F199" s="3">
        <v>3.4885752688172023</v>
      </c>
      <c r="H199" s="6">
        <f t="shared" si="16"/>
        <v>5139.1303524768573</v>
      </c>
      <c r="I199" s="6">
        <f t="shared" si="17"/>
        <v>5.4554181099830865</v>
      </c>
      <c r="J199" s="3">
        <v>4.6146505376343958</v>
      </c>
      <c r="K199" s="3">
        <v>3.2461021505376331</v>
      </c>
      <c r="L199" s="3">
        <v>2.5795698924731183</v>
      </c>
      <c r="M199" s="3">
        <v>1.6181451612903246</v>
      </c>
      <c r="N199" s="3">
        <v>1.0065860215053752</v>
      </c>
      <c r="P199" s="3">
        <v>85.178763440860408</v>
      </c>
      <c r="Q199" s="3">
        <v>80.868548387096823</v>
      </c>
      <c r="R199" s="3">
        <v>83.733064516128891</v>
      </c>
      <c r="S199" s="3">
        <v>85.619892473118185</v>
      </c>
      <c r="T199" s="3">
        <v>85.793817204300979</v>
      </c>
      <c r="V199" s="3">
        <v>0.46650034671741297</v>
      </c>
      <c r="W199" s="3">
        <v>0.46650034671741297</v>
      </c>
      <c r="X199" s="3">
        <v>193.41756182795601</v>
      </c>
      <c r="Y199" s="3">
        <v>58.171999999999997</v>
      </c>
      <c r="Z199" s="3">
        <v>7.5885094086021496</v>
      </c>
      <c r="AA199" s="3">
        <v>4.3327956989247296</v>
      </c>
      <c r="AB199" s="3"/>
      <c r="AC199" s="3">
        <v>2.193548387096774</v>
      </c>
      <c r="AD199" s="3">
        <v>3.1774193548387095</v>
      </c>
      <c r="AE199" s="3">
        <v>1.8064516129032258</v>
      </c>
      <c r="AF199" s="3">
        <v>1.1451612903225807</v>
      </c>
      <c r="AG199" s="3">
        <v>0.4258064516129032</v>
      </c>
      <c r="AH199" s="3"/>
      <c r="AI199" s="6">
        <f t="shared" si="14"/>
        <v>4608.0797128232134</v>
      </c>
      <c r="AJ199" s="6">
        <f t="shared" si="15"/>
        <v>4.2904307623376932</v>
      </c>
      <c r="AK199" s="3">
        <v>1.8258064516129031</v>
      </c>
      <c r="AL199" s="3">
        <v>1.1870967741935483</v>
      </c>
      <c r="AM199" s="3">
        <v>0.44838709677419369</v>
      </c>
      <c r="AN199" s="3">
        <v>-0.57741935483870988</v>
      </c>
      <c r="AO199" s="3">
        <v>-1.4000000000000004</v>
      </c>
      <c r="AP199" s="3"/>
      <c r="AQ199" s="3">
        <v>54.687096774193549</v>
      </c>
      <c r="AR199" s="3">
        <v>55.099999999999987</v>
      </c>
      <c r="AS199" s="3">
        <v>57.438709677419354</v>
      </c>
      <c r="AT199" s="3">
        <v>64.519354838709674</v>
      </c>
      <c r="AU199" s="3">
        <v>62.922580645161304</v>
      </c>
      <c r="AV199" s="3"/>
      <c r="AY199" s="20">
        <v>45566</v>
      </c>
      <c r="BA199" s="44"/>
      <c r="BB199" s="42">
        <v>-0.83</v>
      </c>
      <c r="BC199" s="23">
        <v>3.5</v>
      </c>
    </row>
    <row r="200" spans="1:55" ht="15" thickBot="1">
      <c r="A200" s="20">
        <v>44927</v>
      </c>
      <c r="B200" s="3">
        <v>7.127688172043011</v>
      </c>
      <c r="C200" s="3">
        <v>6.075940860215054</v>
      </c>
      <c r="D200" s="3">
        <v>5.0569892473118259</v>
      </c>
      <c r="E200" s="3">
        <v>3.4885752688172045</v>
      </c>
      <c r="F200" s="3">
        <v>2.8212365591397854</v>
      </c>
      <c r="H200" s="6">
        <f t="shared" si="16"/>
        <v>5022.0124011411563</v>
      </c>
      <c r="I200" s="6">
        <f t="shared" si="17"/>
        <v>5.528876186308282</v>
      </c>
      <c r="J200" s="3">
        <v>5.9305107526881562</v>
      </c>
      <c r="K200" s="3">
        <v>4.437096774193555</v>
      </c>
      <c r="L200" s="3">
        <v>3.6775537634408639</v>
      </c>
      <c r="M200" s="3">
        <v>2.5758064516129053</v>
      </c>
      <c r="N200" s="3">
        <v>1.9138440860215049</v>
      </c>
      <c r="P200" s="3">
        <v>92.747043010752805</v>
      </c>
      <c r="Q200" s="3">
        <v>89.852822580645139</v>
      </c>
      <c r="R200" s="3">
        <v>91.772983870967607</v>
      </c>
      <c r="S200" s="3">
        <v>94.313172043010681</v>
      </c>
      <c r="T200" s="3">
        <v>94.121102150537581</v>
      </c>
      <c r="V200" s="3">
        <v>0.522493854334379</v>
      </c>
      <c r="W200" s="3">
        <v>0.522493854334379</v>
      </c>
      <c r="X200" s="3">
        <v>169.832081989247</v>
      </c>
      <c r="Y200" s="3">
        <v>65.278999999999996</v>
      </c>
      <c r="Z200" s="3">
        <v>7.2350309139784903</v>
      </c>
      <c r="AA200" s="3">
        <v>5.6298387096774203</v>
      </c>
      <c r="AB200" s="3"/>
      <c r="AC200" s="3">
        <v>3.4193548387096775</v>
      </c>
      <c r="AD200" s="3">
        <v>3.0806451612903225</v>
      </c>
      <c r="AE200" s="3">
        <v>2.129032258064516</v>
      </c>
      <c r="AF200" s="3">
        <v>1.0806451612903225</v>
      </c>
      <c r="AG200" s="3">
        <v>0.37419354838709679</v>
      </c>
      <c r="AH200" s="3"/>
      <c r="AI200" s="6">
        <f t="shared" si="14"/>
        <v>4617.9241464537427</v>
      </c>
      <c r="AJ200" s="6">
        <f t="shared" si="15"/>
        <v>4.4580970625759075</v>
      </c>
      <c r="AK200" s="3">
        <v>3.4967741935483883</v>
      </c>
      <c r="AL200" s="3">
        <v>2.5999999999999996</v>
      </c>
      <c r="AM200" s="3">
        <v>1.7709677419354839</v>
      </c>
      <c r="AN200" s="3">
        <v>0.64838709677419348</v>
      </c>
      <c r="AO200" s="3">
        <v>-0.17096774193548386</v>
      </c>
      <c r="AP200" s="3"/>
      <c r="AQ200" s="3">
        <v>68.161290322580641</v>
      </c>
      <c r="AR200" s="3">
        <v>66.261290322580649</v>
      </c>
      <c r="AS200" s="3">
        <v>70.07741935483871</v>
      </c>
      <c r="AT200" s="3">
        <v>78.974193548387106</v>
      </c>
      <c r="AU200" s="3">
        <v>77.606451612903214</v>
      </c>
      <c r="AV200" s="3"/>
      <c r="AY200" s="20">
        <v>45597</v>
      </c>
      <c r="BB200" s="42">
        <v>-0.68</v>
      </c>
      <c r="BC200" s="23">
        <v>2.2999999999999998</v>
      </c>
    </row>
    <row r="201" spans="1:55" ht="15" thickBot="1">
      <c r="A201" s="20">
        <v>44958</v>
      </c>
      <c r="B201" s="3">
        <v>8.7001488095238102</v>
      </c>
      <c r="C201" s="3">
        <v>7.3504464285714288</v>
      </c>
      <c r="D201" s="3">
        <v>6.239136904761903</v>
      </c>
      <c r="E201" s="3">
        <v>4.557291666666667</v>
      </c>
      <c r="F201" s="3">
        <v>3.8495535714285731</v>
      </c>
      <c r="H201" s="6">
        <f t="shared" si="16"/>
        <v>5155.2818115578566</v>
      </c>
      <c r="I201" s="6">
        <f t="shared" si="17"/>
        <v>5.9430601228986601</v>
      </c>
      <c r="J201" s="3">
        <v>6.7318452380952127</v>
      </c>
      <c r="K201" s="3">
        <v>5.2017857142857125</v>
      </c>
      <c r="L201" s="3">
        <v>4.5394345238095282</v>
      </c>
      <c r="M201" s="3">
        <v>3.4403273809523838</v>
      </c>
      <c r="N201" s="3">
        <v>2.7857142857142838</v>
      </c>
      <c r="P201" s="3">
        <v>88.967559523809612</v>
      </c>
      <c r="Q201" s="3">
        <v>87.251190476190473</v>
      </c>
      <c r="R201" s="3">
        <v>89.980357142857059</v>
      </c>
      <c r="S201" s="3">
        <v>93.086458333333113</v>
      </c>
      <c r="T201" s="3">
        <v>93.31428571428556</v>
      </c>
      <c r="V201" s="3">
        <v>0.4048787976562</v>
      </c>
      <c r="W201" s="3">
        <v>0.4048787976562</v>
      </c>
      <c r="X201" s="3">
        <v>219.299800595238</v>
      </c>
      <c r="Y201" s="3">
        <v>58.677999999999997</v>
      </c>
      <c r="Z201" s="3">
        <v>8.7361577380952298</v>
      </c>
      <c r="AA201" s="3">
        <v>6.3985119047619001</v>
      </c>
      <c r="AB201" s="3"/>
      <c r="AC201" s="3">
        <v>4.4642857142857144</v>
      </c>
      <c r="AD201" s="3">
        <v>4.0357142857142856</v>
      </c>
      <c r="AE201" s="3">
        <v>3.0071428571428571</v>
      </c>
      <c r="AF201" s="3">
        <v>1.8571428571428572</v>
      </c>
      <c r="AG201" s="3">
        <v>1.2214285714285715</v>
      </c>
      <c r="AH201" s="3"/>
      <c r="AI201" s="6">
        <f t="shared" si="14"/>
        <v>4780.9918869871544</v>
      </c>
      <c r="AJ201" s="6">
        <f t="shared" si="15"/>
        <v>4.6626145304168087</v>
      </c>
      <c r="AK201" s="3">
        <v>4.4214285714285717</v>
      </c>
      <c r="AL201" s="3">
        <v>3.3285714285714283</v>
      </c>
      <c r="AM201" s="3">
        <v>2.6678571428571423</v>
      </c>
      <c r="AN201" s="3">
        <v>1.4821428571428565</v>
      </c>
      <c r="AO201" s="3">
        <v>0.84285714285714275</v>
      </c>
      <c r="AP201" s="3"/>
      <c r="AQ201" s="3">
        <v>57.4</v>
      </c>
      <c r="AR201" s="3">
        <v>60.642857142857146</v>
      </c>
      <c r="AS201" s="3">
        <v>64.992857142857133</v>
      </c>
      <c r="AT201" s="3">
        <v>75.307142857142864</v>
      </c>
      <c r="AU201" s="3">
        <v>73.275000000000006</v>
      </c>
      <c r="AV201" s="3"/>
      <c r="AY201" s="20">
        <v>45627</v>
      </c>
      <c r="BB201" s="41">
        <v>-0.43</v>
      </c>
      <c r="BC201" s="23">
        <v>2.2999999999999998</v>
      </c>
    </row>
    <row r="202" spans="1:55" ht="15" thickBot="1">
      <c r="A202" s="20">
        <v>44986</v>
      </c>
      <c r="B202" s="3">
        <v>7.631048387096774</v>
      </c>
      <c r="C202" s="3">
        <v>6.384408602150538</v>
      </c>
      <c r="D202" s="3">
        <v>5.2836021505376349</v>
      </c>
      <c r="E202" s="3">
        <v>3.618951612903226</v>
      </c>
      <c r="F202" s="3">
        <v>2.9520161290322577</v>
      </c>
      <c r="H202" s="6">
        <f t="shared" si="16"/>
        <v>5012.6689149427384</v>
      </c>
      <c r="I202" s="6">
        <f t="shared" si="17"/>
        <v>5.8337469316597161</v>
      </c>
      <c r="J202" s="3">
        <v>5.8036290322580717</v>
      </c>
      <c r="K202" s="3">
        <v>4.3022849462365675</v>
      </c>
      <c r="L202" s="3">
        <v>3.602419354838712</v>
      </c>
      <c r="M202" s="3">
        <v>2.4084677419354832</v>
      </c>
      <c r="N202" s="3">
        <v>1.8392473118279571</v>
      </c>
      <c r="P202" s="3">
        <v>89.565860215053817</v>
      </c>
      <c r="Q202" s="3">
        <v>87.449193548387086</v>
      </c>
      <c r="R202" s="3">
        <v>90.219758064516114</v>
      </c>
      <c r="S202" s="3">
        <v>92.763306451612735</v>
      </c>
      <c r="T202" s="3">
        <v>92.956182795698837</v>
      </c>
      <c r="V202" s="3">
        <v>0.23276886878160899</v>
      </c>
      <c r="W202" s="3">
        <v>0.23276886878160899</v>
      </c>
      <c r="X202" s="3">
        <v>189.594662634408</v>
      </c>
      <c r="Y202" s="3">
        <v>98.049000000000007</v>
      </c>
      <c r="Z202" s="3">
        <v>7.7184623655913898</v>
      </c>
      <c r="AA202" s="3">
        <v>5.4614247311827899</v>
      </c>
      <c r="AB202" s="3"/>
      <c r="AC202" s="3">
        <v>3.370967741935484</v>
      </c>
      <c r="AD202" s="3">
        <v>3.2419354838709675</v>
      </c>
      <c r="AE202" s="3">
        <v>2.0806451612903225</v>
      </c>
      <c r="AF202" s="3">
        <v>1.2258064516129032</v>
      </c>
      <c r="AG202" s="3">
        <v>0.39999999999999997</v>
      </c>
      <c r="AH202" s="3"/>
      <c r="AI202" s="6">
        <f t="shared" si="14"/>
        <v>4622.7488230722447</v>
      </c>
      <c r="AJ202" s="6">
        <f t="shared" si="15"/>
        <v>4.5415931026049723</v>
      </c>
      <c r="AK202" s="3">
        <v>3.1903225806451614</v>
      </c>
      <c r="AL202" s="3">
        <v>2.1870967741935483</v>
      </c>
      <c r="AM202" s="3">
        <v>1.3935483870967738</v>
      </c>
      <c r="AN202" s="3">
        <v>0.34838709677419349</v>
      </c>
      <c r="AO202" s="3">
        <v>-0.34516129032258064</v>
      </c>
      <c r="AP202" s="3"/>
      <c r="AQ202" s="3">
        <v>64.874193548387098</v>
      </c>
      <c r="AR202" s="3">
        <v>66.319354838709685</v>
      </c>
      <c r="AS202" s="3">
        <v>71.558064516129022</v>
      </c>
      <c r="AT202" s="3">
        <v>81.745161290322571</v>
      </c>
      <c r="AU202" s="3">
        <v>80.329032258064515</v>
      </c>
      <c r="AV202" s="3"/>
      <c r="AY202" s="20">
        <v>45658</v>
      </c>
      <c r="BB202" s="41">
        <v>-0.15</v>
      </c>
      <c r="BC202" s="23">
        <v>0.3</v>
      </c>
    </row>
    <row r="203" spans="1:55" ht="15" thickBot="1">
      <c r="A203" s="20">
        <v>45017</v>
      </c>
      <c r="B203" s="3">
        <v>8.3208333333333329</v>
      </c>
      <c r="C203" s="3">
        <v>7.1083333333333334</v>
      </c>
      <c r="D203" s="3">
        <v>5.87361111111111</v>
      </c>
      <c r="E203" s="3">
        <v>4.3250000000000002</v>
      </c>
      <c r="F203" s="3">
        <v>3.6490277777777775</v>
      </c>
      <c r="H203" s="6">
        <f t="shared" si="16"/>
        <v>5129.4303684836495</v>
      </c>
      <c r="I203" s="6">
        <f t="shared" si="17"/>
        <v>5.8025679514340807</v>
      </c>
      <c r="J203" s="3">
        <v>6.3483333333333123</v>
      </c>
      <c r="K203" s="3">
        <v>4.5500000000000007</v>
      </c>
      <c r="L203" s="3">
        <v>3.8959722222222246</v>
      </c>
      <c r="M203" s="3">
        <v>2.8593055555555584</v>
      </c>
      <c r="N203" s="3">
        <v>2.2276388888888898</v>
      </c>
      <c r="P203" s="3">
        <v>88.810694444444607</v>
      </c>
      <c r="Q203" s="3">
        <v>84.971944444444489</v>
      </c>
      <c r="R203" s="3">
        <v>88.35583333333328</v>
      </c>
      <c r="S203" s="3">
        <v>90.85166666666656</v>
      </c>
      <c r="T203" s="3">
        <v>91.030833333333291</v>
      </c>
      <c r="V203" s="3">
        <v>2.26299958002079E-2</v>
      </c>
      <c r="W203" s="3">
        <v>2.26299958002079E-2</v>
      </c>
      <c r="X203" s="3">
        <v>180.460733333333</v>
      </c>
      <c r="Y203" s="3">
        <v>41.911000000000001</v>
      </c>
      <c r="Z203" s="3">
        <v>8.3836027777777709</v>
      </c>
      <c r="AA203" s="3">
        <v>6.0319444444444397</v>
      </c>
      <c r="AB203" s="3"/>
      <c r="AC203" s="3">
        <v>3.6666666666666665</v>
      </c>
      <c r="AD203" s="3">
        <v>3.8666666666666667</v>
      </c>
      <c r="AE203" s="3">
        <v>2.6433333333333331</v>
      </c>
      <c r="AF203" s="3">
        <v>2</v>
      </c>
      <c r="AG203" s="3">
        <v>1.2100000000000002</v>
      </c>
      <c r="AH203" s="3"/>
      <c r="AI203" s="6">
        <f t="shared" si="14"/>
        <v>4809.7420209484981</v>
      </c>
      <c r="AJ203" s="6">
        <f t="shared" si="15"/>
        <v>4.153912412873642</v>
      </c>
      <c r="AK203" s="3">
        <v>3.5433333333333339</v>
      </c>
      <c r="AL203" s="3">
        <v>2.6399999999999997</v>
      </c>
      <c r="AM203" s="3">
        <v>2.0466666666666664</v>
      </c>
      <c r="AN203" s="3">
        <v>1.0799999999999998</v>
      </c>
      <c r="AO203" s="3">
        <v>0.27999999999999997</v>
      </c>
      <c r="AP203" s="3"/>
      <c r="AQ203" s="3">
        <v>60.636666666666663</v>
      </c>
      <c r="AR203" s="3">
        <v>59.59</v>
      </c>
      <c r="AS203" s="3">
        <v>64.946666666666673</v>
      </c>
      <c r="AT203" s="3">
        <v>74.593333333333376</v>
      </c>
      <c r="AU203" s="3">
        <v>72.486666666666665</v>
      </c>
      <c r="AV203" s="3"/>
      <c r="AY203" s="20">
        <v>45689</v>
      </c>
      <c r="BB203" s="41">
        <v>0.16</v>
      </c>
      <c r="BC203" s="23">
        <v>0.4</v>
      </c>
    </row>
    <row r="204" spans="1:55" ht="15" thickBot="1">
      <c r="A204" s="20">
        <v>45047</v>
      </c>
      <c r="B204" s="3">
        <v>8.495967741935484</v>
      </c>
      <c r="C204" s="3">
        <v>8.2936827956989241</v>
      </c>
      <c r="D204" s="3">
        <v>6.7469086021505396</v>
      </c>
      <c r="E204" s="3">
        <v>5.268817204301075</v>
      </c>
      <c r="F204" s="3">
        <v>4.5389784946236578</v>
      </c>
      <c r="H204" s="6">
        <f t="shared" si="16"/>
        <v>5220.2030307218047</v>
      </c>
      <c r="I204" s="6">
        <f t="shared" si="17"/>
        <v>6.1763593223760269</v>
      </c>
      <c r="J204" s="3">
        <v>5.0073924731182755</v>
      </c>
      <c r="K204" s="3">
        <v>3.4435483870967718</v>
      </c>
      <c r="L204" s="3">
        <v>2.8764784946236532</v>
      </c>
      <c r="M204" s="3">
        <v>2.0430107526881707</v>
      </c>
      <c r="N204" s="3">
        <v>1.5764784946236556</v>
      </c>
      <c r="P204" s="3">
        <v>81.429166666666774</v>
      </c>
      <c r="Q204" s="3">
        <v>73.821236559139791</v>
      </c>
      <c r="R204" s="3">
        <v>78.577150537634381</v>
      </c>
      <c r="S204" s="3">
        <v>81.100940860215019</v>
      </c>
      <c r="T204" s="3">
        <v>82.52930107526872</v>
      </c>
      <c r="V204" s="3">
        <v>0.109418857804541</v>
      </c>
      <c r="W204" s="3">
        <v>0.109418857804541</v>
      </c>
      <c r="X204" s="3">
        <v>173.64678494623601</v>
      </c>
      <c r="Y204" s="3">
        <v>15.242000000000001</v>
      </c>
      <c r="Z204" s="3">
        <v>8.5815967741935406</v>
      </c>
      <c r="AA204" s="3">
        <v>4.7759408602150497</v>
      </c>
      <c r="AB204" s="3"/>
      <c r="AC204" s="3">
        <v>2.7419354838709675</v>
      </c>
      <c r="AD204" s="3">
        <v>4.67741935483871</v>
      </c>
      <c r="AE204" s="3">
        <v>2.870967741935484</v>
      </c>
      <c r="AF204" s="3">
        <v>2.4838709677419355</v>
      </c>
      <c r="AG204" s="3">
        <v>1.7129032258064514</v>
      </c>
      <c r="AH204" s="3"/>
      <c r="AI204" s="6">
        <f t="shared" si="14"/>
        <v>4825.7090737153912</v>
      </c>
      <c r="AJ204" s="6">
        <f t="shared" si="15"/>
        <v>4.4272974588947891</v>
      </c>
      <c r="AK204" s="3">
        <v>2.1774193548387095</v>
      </c>
      <c r="AL204" s="3">
        <v>1.3967741935483871</v>
      </c>
      <c r="AM204" s="3">
        <v>0.86129032258064531</v>
      </c>
      <c r="AN204" s="3">
        <v>0.18387096774193551</v>
      </c>
      <c r="AO204" s="3">
        <v>-0.71612903225806457</v>
      </c>
      <c r="AP204" s="3"/>
      <c r="AQ204" s="3">
        <v>51.980645161290319</v>
      </c>
      <c r="AR204" s="3">
        <v>49.051612903225802</v>
      </c>
      <c r="AS204" s="3">
        <v>53.254838709677422</v>
      </c>
      <c r="AT204" s="3">
        <v>63.109677419354831</v>
      </c>
      <c r="AU204" s="3">
        <v>63.512903225806454</v>
      </c>
      <c r="AV204" s="3"/>
      <c r="AY204" s="20">
        <v>45717</v>
      </c>
      <c r="BB204" s="41">
        <v>0.48</v>
      </c>
      <c r="BC204" s="23">
        <v>-1.7</v>
      </c>
    </row>
    <row r="205" spans="1:55" ht="15" thickBot="1">
      <c r="A205" s="20">
        <v>45078</v>
      </c>
      <c r="B205" s="3">
        <v>7.6620639534883717</v>
      </c>
      <c r="C205" s="3">
        <v>8.7779390420899848</v>
      </c>
      <c r="D205" s="3">
        <v>6.6084179970972423</v>
      </c>
      <c r="E205" s="3">
        <v>5.4086956521739129</v>
      </c>
      <c r="F205" s="3">
        <v>4.4801449275362328</v>
      </c>
      <c r="H205" s="6">
        <f t="shared" si="16"/>
        <v>5120.6759981760679</v>
      </c>
      <c r="I205" s="6">
        <f t="shared" si="17"/>
        <v>6.7835584358235623</v>
      </c>
      <c r="J205" s="3">
        <v>0.59781976744185994</v>
      </c>
      <c r="K205" s="3">
        <v>-2.3322206095791014</v>
      </c>
      <c r="L205" s="3">
        <v>-2.8307692307692318</v>
      </c>
      <c r="M205" s="3">
        <v>-3.4059420289855065</v>
      </c>
      <c r="N205" s="3">
        <v>-4.285217391304351</v>
      </c>
      <c r="P205" s="3">
        <v>66.302470930232545</v>
      </c>
      <c r="Q205" s="3">
        <v>50.043313953488401</v>
      </c>
      <c r="R205" s="3">
        <v>55.513062409288793</v>
      </c>
      <c r="S205" s="3">
        <v>56.945652173912855</v>
      </c>
      <c r="T205" s="3">
        <v>57.45434782608698</v>
      </c>
      <c r="V205" s="3">
        <v>0.22116345313048499</v>
      </c>
      <c r="W205" s="3">
        <v>0.22116345313048499</v>
      </c>
      <c r="X205" s="3">
        <v>192.15913888888801</v>
      </c>
      <c r="Y205" s="3">
        <v>0.50800000000000001</v>
      </c>
      <c r="Z205" s="3">
        <v>7.8184652777777703</v>
      </c>
      <c r="AA205" s="3">
        <v>0.427222222222222</v>
      </c>
      <c r="AB205" s="3"/>
      <c r="AC205" s="3">
        <v>0.45</v>
      </c>
      <c r="AD205" s="3">
        <v>4.0666666666666664</v>
      </c>
      <c r="AE205" s="48">
        <v>1.9133333333333333</v>
      </c>
      <c r="AF205" s="49">
        <v>2.0666666666666669</v>
      </c>
      <c r="AG205" s="3">
        <v>1.0833333333333333</v>
      </c>
      <c r="AH205" s="3"/>
      <c r="AI205" s="6">
        <f t="shared" si="14"/>
        <v>4663.0017756751586</v>
      </c>
      <c r="AJ205" s="6">
        <f t="shared" si="15"/>
        <v>4.1491938931587793</v>
      </c>
      <c r="AK205" s="3">
        <v>-2.5033333333333334</v>
      </c>
      <c r="AL205" s="3">
        <v>-5.583333333333333</v>
      </c>
      <c r="AM205" s="3">
        <v>-5.879999999999999</v>
      </c>
      <c r="AN205" s="3">
        <v>-6.49</v>
      </c>
      <c r="AO205" s="3">
        <v>-7.9766666666666675</v>
      </c>
      <c r="AP205" s="3"/>
      <c r="AQ205" s="3">
        <v>36.623333333333335</v>
      </c>
      <c r="AR205" s="3">
        <v>30.776666666666664</v>
      </c>
      <c r="AS205" s="3">
        <v>33.006666666666661</v>
      </c>
      <c r="AT205" s="3">
        <v>40.090000000000011</v>
      </c>
      <c r="AU205" s="3">
        <v>39.283333333333331</v>
      </c>
      <c r="AV205" s="3"/>
      <c r="AY205" s="20">
        <v>45748</v>
      </c>
      <c r="BB205" s="43">
        <v>0.77</v>
      </c>
      <c r="BC205" s="23">
        <v>0.4</v>
      </c>
    </row>
    <row r="206" spans="1:55" ht="15" thickBot="1">
      <c r="A206" s="20">
        <v>45108</v>
      </c>
      <c r="B206" s="3">
        <v>8.0282258064516121</v>
      </c>
      <c r="C206" s="3">
        <v>9.1297043010752681</v>
      </c>
      <c r="D206" s="3">
        <v>6.8146505376344075</v>
      </c>
      <c r="E206" s="3">
        <v>5.7446236559139781</v>
      </c>
      <c r="F206" s="3">
        <v>4.7065860215053741</v>
      </c>
      <c r="H206" s="6">
        <f t="shared" si="16"/>
        <v>5137.3960766468235</v>
      </c>
      <c r="I206" s="6">
        <f t="shared" si="17"/>
        <v>6.8902410153265583</v>
      </c>
      <c r="J206" s="3">
        <v>-0.37446236559139767</v>
      </c>
      <c r="K206" s="3">
        <v>-3.2788978494623668</v>
      </c>
      <c r="L206" s="3">
        <v>-3.787231182795701</v>
      </c>
      <c r="M206" s="3">
        <v>-4.2805107526881727</v>
      </c>
      <c r="N206" s="3">
        <v>-5.1592741935483879</v>
      </c>
      <c r="P206" s="3">
        <v>61.294220430107409</v>
      </c>
      <c r="Q206" s="3">
        <v>45.497177419354834</v>
      </c>
      <c r="R206" s="3">
        <v>51.232258064516145</v>
      </c>
      <c r="S206" s="3">
        <v>52.322983870967668</v>
      </c>
      <c r="T206" s="3">
        <v>53.154032258064454</v>
      </c>
      <c r="V206" s="3">
        <v>0.525249046877731</v>
      </c>
      <c r="W206" s="3">
        <v>0.525249046877731</v>
      </c>
      <c r="X206" s="3">
        <v>198.943292682926</v>
      </c>
      <c r="Y206" s="3">
        <v>0</v>
      </c>
      <c r="Z206" s="3">
        <v>8.0266422764227592</v>
      </c>
      <c r="AA206" s="3">
        <v>-0.50243902439024302</v>
      </c>
      <c r="AB206" s="3"/>
      <c r="AC206" s="3">
        <v>0.41935483870967744</v>
      </c>
      <c r="AD206" s="3">
        <v>4.241935483870968</v>
      </c>
      <c r="AE206" s="48">
        <v>1.4516129032258065</v>
      </c>
      <c r="AF206" s="49">
        <v>1.7741935483870968</v>
      </c>
      <c r="AG206" s="3">
        <v>0.59677419354838712</v>
      </c>
      <c r="AH206" s="3"/>
      <c r="AI206" s="6">
        <f t="shared" si="14"/>
        <v>4536.1091082937883</v>
      </c>
      <c r="AJ206" s="6">
        <f t="shared" si="15"/>
        <v>4.9865477750887299</v>
      </c>
      <c r="AK206" s="3">
        <v>-3.2580645161290325</v>
      </c>
      <c r="AL206" s="3">
        <v>-6.9645161290322593</v>
      </c>
      <c r="AM206" s="3">
        <v>-7.2483870967741941</v>
      </c>
      <c r="AN206" s="3">
        <v>-8.0225806451612893</v>
      </c>
      <c r="AO206" s="3">
        <v>-9.5677419354838715</v>
      </c>
      <c r="AP206" s="3"/>
      <c r="AQ206" s="3">
        <v>28.551612903225806</v>
      </c>
      <c r="AR206" s="3">
        <v>23.319354838709682</v>
      </c>
      <c r="AS206" s="3">
        <v>25.316129032258065</v>
      </c>
      <c r="AT206" s="3">
        <v>30.161290322580655</v>
      </c>
      <c r="AU206" s="3">
        <v>29.78387096774194</v>
      </c>
      <c r="AV206" s="3"/>
      <c r="AY206" s="20">
        <v>45778</v>
      </c>
      <c r="BB206" s="43">
        <v>1.07</v>
      </c>
      <c r="BC206" s="23">
        <v>-0.4</v>
      </c>
    </row>
    <row r="207" spans="1:55" ht="15" thickBot="1">
      <c r="A207" s="20">
        <v>45139</v>
      </c>
      <c r="B207" s="3">
        <v>8.663978494623656</v>
      </c>
      <c r="C207" s="3">
        <v>8.92741935483871</v>
      </c>
      <c r="D207" s="3">
        <v>6.8626344086021467</v>
      </c>
      <c r="E207" s="3">
        <v>5.766801075268817</v>
      </c>
      <c r="F207" s="3">
        <v>4.7865591397849441</v>
      </c>
      <c r="H207" s="6">
        <f t="shared" si="16"/>
        <v>5200.9552011922588</v>
      </c>
      <c r="I207" s="6">
        <f t="shared" si="17"/>
        <v>6.5076223400609283</v>
      </c>
      <c r="J207" s="3">
        <v>0.6016129032258053</v>
      </c>
      <c r="K207" s="3">
        <v>-2.0915322580645155</v>
      </c>
      <c r="L207" s="3">
        <v>-2.7544354838709668</v>
      </c>
      <c r="M207" s="3">
        <v>-3.3685483870967756</v>
      </c>
      <c r="N207" s="3">
        <v>-4.1708333333333352</v>
      </c>
      <c r="P207" s="3">
        <v>62.913978494623706</v>
      </c>
      <c r="Q207" s="3">
        <v>50.593413978494624</v>
      </c>
      <c r="R207" s="3">
        <v>55.215725806451545</v>
      </c>
      <c r="S207" s="3">
        <v>56.350806451612804</v>
      </c>
      <c r="T207" s="3">
        <v>57.311827956989205</v>
      </c>
      <c r="V207" s="3">
        <v>0.48275104895558901</v>
      </c>
      <c r="W207" s="3">
        <v>0.48275104895558901</v>
      </c>
      <c r="X207" s="3">
        <v>213.664181451612</v>
      </c>
      <c r="Y207" s="3">
        <v>10.414</v>
      </c>
      <c r="Z207" s="3">
        <v>8.7062930107526793</v>
      </c>
      <c r="AA207" s="3">
        <v>0.56774193548387097</v>
      </c>
      <c r="AB207" s="3"/>
      <c r="AC207" s="3">
        <v>1.032258064516129</v>
      </c>
      <c r="AD207" s="3">
        <v>4.387096774193548</v>
      </c>
      <c r="AE207" s="48">
        <v>1.7258064516129032</v>
      </c>
      <c r="AF207" s="49">
        <v>2.0806451612903225</v>
      </c>
      <c r="AG207" s="3">
        <v>0.8774193548387097</v>
      </c>
      <c r="AH207" s="3"/>
      <c r="AI207" s="6">
        <f t="shared" si="14"/>
        <v>4585.9728951398929</v>
      </c>
      <c r="AJ207" s="6">
        <f t="shared" si="15"/>
        <v>4.7810025592785097</v>
      </c>
      <c r="AK207" s="3">
        <v>-2.274193548387097</v>
      </c>
      <c r="AL207" s="3">
        <v>-5.4483870967741916</v>
      </c>
      <c r="AM207" s="3">
        <v>-5.7903225806451619</v>
      </c>
      <c r="AN207" s="3">
        <v>-6.8774193548387101</v>
      </c>
      <c r="AO207" s="3">
        <v>-8.0838709677419374</v>
      </c>
      <c r="AP207" s="3"/>
      <c r="AQ207" s="3">
        <v>31.290322580645153</v>
      </c>
      <c r="AR207" s="3">
        <v>27.612903225806456</v>
      </c>
      <c r="AS207" s="3">
        <v>30.203225806451616</v>
      </c>
      <c r="AT207" s="3">
        <v>34.458064516129042</v>
      </c>
      <c r="AU207" s="3">
        <v>34.283870967741933</v>
      </c>
      <c r="AV207" s="3"/>
      <c r="AY207" s="20">
        <v>45809</v>
      </c>
      <c r="BB207" s="43">
        <v>1.32</v>
      </c>
      <c r="BC207" s="23">
        <v>-1.4</v>
      </c>
    </row>
    <row r="208" spans="1:55" ht="15" thickBot="1">
      <c r="A208" s="20">
        <v>45170</v>
      </c>
      <c r="B208" s="3">
        <v>9.6472222222222221</v>
      </c>
      <c r="C208" s="3">
        <v>8.750694444444445</v>
      </c>
      <c r="D208" s="3">
        <v>7.2531944444444401</v>
      </c>
      <c r="E208" s="3">
        <v>5.615277777777778</v>
      </c>
      <c r="F208" s="3">
        <v>4.5468055555555562</v>
      </c>
      <c r="H208" s="6">
        <f t="shared" si="16"/>
        <v>5181.1446458153814</v>
      </c>
      <c r="I208" s="6">
        <f t="shared" si="17"/>
        <v>6.9277587506373131</v>
      </c>
      <c r="J208" s="3">
        <v>3.7220833333333303</v>
      </c>
      <c r="K208" s="3">
        <v>2.1525000000000016</v>
      </c>
      <c r="L208" s="3">
        <v>1.7288888888888898</v>
      </c>
      <c r="M208" s="3">
        <v>1.2131944444444436</v>
      </c>
      <c r="N208" s="3">
        <v>0.82388888888888867</v>
      </c>
      <c r="P208" s="3">
        <v>70.505000000000308</v>
      </c>
      <c r="Q208" s="3">
        <v>65.862499999999955</v>
      </c>
      <c r="R208" s="3">
        <v>70.490972222222325</v>
      </c>
      <c r="S208" s="3">
        <v>75.10250000000012</v>
      </c>
      <c r="T208" s="3">
        <v>78.514999999999944</v>
      </c>
      <c r="V208" s="3">
        <v>0.581287378872962</v>
      </c>
      <c r="W208" s="3">
        <v>0.581287378872962</v>
      </c>
      <c r="X208" s="3">
        <v>202.484243055555</v>
      </c>
      <c r="Y208" s="3">
        <v>38.36</v>
      </c>
      <c r="Z208" s="3">
        <v>9.6052791666666604</v>
      </c>
      <c r="AA208" s="3">
        <v>3.6140277777777698</v>
      </c>
      <c r="AB208" s="3"/>
      <c r="AC208" s="3">
        <v>3.1</v>
      </c>
      <c r="AD208" s="3">
        <v>5.0666666666666664</v>
      </c>
      <c r="AE208" s="48">
        <v>3.3</v>
      </c>
      <c r="AF208" s="48">
        <v>2.5499999999999998</v>
      </c>
      <c r="AG208" s="3">
        <v>1.65</v>
      </c>
      <c r="AH208" s="3"/>
      <c r="AI208" s="6">
        <f t="shared" si="14"/>
        <v>4802.3565701951457</v>
      </c>
      <c r="AJ208" s="6">
        <f t="shared" si="15"/>
        <v>5.2854546087903813</v>
      </c>
      <c r="AK208" s="3">
        <v>1.39</v>
      </c>
      <c r="AL208" s="3">
        <v>0.47</v>
      </c>
      <c r="AM208" s="3">
        <v>0.21000000000000002</v>
      </c>
      <c r="AN208" s="3">
        <v>-5.6666666666666705E-2</v>
      </c>
      <c r="AO208" s="3">
        <v>-0.81333333333333335</v>
      </c>
      <c r="AP208" s="3"/>
      <c r="AQ208" s="3">
        <v>38.836666666666666</v>
      </c>
      <c r="AR208" s="3">
        <v>40.620000000000012</v>
      </c>
      <c r="AS208" s="3">
        <v>43.080000000000005</v>
      </c>
      <c r="AT208" s="3">
        <v>51.153333333333329</v>
      </c>
      <c r="AU208" s="3">
        <v>52.926666666666655</v>
      </c>
      <c r="AV208" s="3"/>
      <c r="BB208" s="43">
        <v>1.56</v>
      </c>
      <c r="BC208" s="23">
        <v>-2.1</v>
      </c>
    </row>
    <row r="209" spans="1:55" ht="15" thickBot="1">
      <c r="A209" s="20">
        <v>45200</v>
      </c>
      <c r="B209" s="3">
        <v>8.6693548387096779</v>
      </c>
      <c r="C209" s="3">
        <v>7.752016129032258</v>
      </c>
      <c r="D209" s="3">
        <v>6.5237903225806422</v>
      </c>
      <c r="E209" s="3">
        <v>4.993951612903226</v>
      </c>
      <c r="F209" s="3">
        <v>4.1126344086021493</v>
      </c>
      <c r="H209" s="6">
        <f t="shared" si="16"/>
        <v>5201.3710679935757</v>
      </c>
      <c r="I209" s="6">
        <f t="shared" si="17"/>
        <v>6.0604962444403645</v>
      </c>
      <c r="J209" s="3">
        <v>6.3978494623655777</v>
      </c>
      <c r="K209" s="3">
        <v>4.8651881720430188</v>
      </c>
      <c r="L209" s="3">
        <v>4.2918010752688227</v>
      </c>
      <c r="M209" s="3">
        <v>3.3333333333333393</v>
      </c>
      <c r="N209" s="3">
        <v>2.8227150537634529</v>
      </c>
      <c r="P209" s="3">
        <v>87.62258064516152</v>
      </c>
      <c r="Q209" s="3">
        <v>83.461827956989382</v>
      </c>
      <c r="R209" s="3">
        <v>86.920430107527025</v>
      </c>
      <c r="S209" s="3">
        <v>89.765994623655871</v>
      </c>
      <c r="T209" s="3">
        <v>91.596908602150336</v>
      </c>
      <c r="V209" s="3">
        <v>0.114392610701158</v>
      </c>
      <c r="W209" s="3">
        <v>0.114392610701158</v>
      </c>
      <c r="X209" s="3">
        <v>161.53818548387</v>
      </c>
      <c r="Y209" s="3">
        <v>95.259</v>
      </c>
      <c r="Z209" s="3">
        <v>8.6897284946236493</v>
      </c>
      <c r="AA209" s="3">
        <v>6.1635752688172003</v>
      </c>
      <c r="AB209" s="3"/>
      <c r="AC209" s="3">
        <v>4.241935483870968</v>
      </c>
      <c r="AD209" s="3">
        <v>4.741935483870968</v>
      </c>
      <c r="AE209" s="48">
        <v>3.5548387096774197</v>
      </c>
      <c r="AF209" s="48">
        <v>2.564516129032258</v>
      </c>
      <c r="AG209" s="3">
        <v>1.7322580645161292</v>
      </c>
      <c r="AH209" s="3"/>
      <c r="AI209" s="6">
        <f t="shared" si="14"/>
        <v>4885.3093363329581</v>
      </c>
      <c r="AJ209" s="6">
        <f t="shared" si="15"/>
        <v>4.8567297440506962</v>
      </c>
      <c r="AK209" s="3">
        <v>3.9387096774193551</v>
      </c>
      <c r="AL209" s="3">
        <v>3.1612903225806459</v>
      </c>
      <c r="AM209" s="3">
        <v>2.5258064516129042</v>
      </c>
      <c r="AN209" s="3">
        <v>1.6870967741935483</v>
      </c>
      <c r="AO209" s="3">
        <v>0.92580645161290298</v>
      </c>
      <c r="AP209" s="3"/>
      <c r="AQ209" s="3">
        <v>61.125806451612917</v>
      </c>
      <c r="AR209" s="3">
        <v>61.58387096774193</v>
      </c>
      <c r="AS209" s="3">
        <v>65.716129032258067</v>
      </c>
      <c r="AT209" s="3">
        <v>74.383870967741942</v>
      </c>
      <c r="AU209" s="3">
        <v>75.461290322580652</v>
      </c>
      <c r="AV209" s="3"/>
      <c r="BB209" s="43">
        <v>1.78</v>
      </c>
      <c r="BC209" s="23">
        <v>-0.8</v>
      </c>
    </row>
    <row r="210" spans="1:55" ht="15" thickBot="1">
      <c r="A210" s="20">
        <v>45231</v>
      </c>
      <c r="B210" s="3">
        <v>8.3284722222222225</v>
      </c>
      <c r="C210" s="3">
        <v>7.6965277777777779</v>
      </c>
      <c r="D210" s="3">
        <v>6.4837499999999944</v>
      </c>
      <c r="E210" s="3">
        <v>5.0694444444444446</v>
      </c>
      <c r="F210" s="3">
        <v>4.2502777777777769</v>
      </c>
      <c r="H210" s="6">
        <f t="shared" si="16"/>
        <v>5261.3987760997306</v>
      </c>
      <c r="I210" s="6">
        <f t="shared" si="17"/>
        <v>5.7169359231356278</v>
      </c>
      <c r="J210" s="3">
        <v>5.751944444444443</v>
      </c>
      <c r="K210" s="3">
        <v>4.4648611111111149</v>
      </c>
      <c r="L210" s="3">
        <v>3.8716666666666724</v>
      </c>
      <c r="M210" s="3">
        <v>2.9927777777777824</v>
      </c>
      <c r="N210" s="3">
        <v>2.4583333333333361</v>
      </c>
      <c r="P210" s="3">
        <v>86.164583333333411</v>
      </c>
      <c r="Q210" s="3">
        <v>81.588472222222222</v>
      </c>
      <c r="R210" s="3">
        <v>84.940694444444546</v>
      </c>
      <c r="S210" s="3">
        <v>87.414722222222196</v>
      </c>
      <c r="T210" s="3">
        <v>88.746944444444381</v>
      </c>
      <c r="V210" s="3">
        <v>0.21025077555125399</v>
      </c>
      <c r="W210" s="3">
        <v>0.21025077555125399</v>
      </c>
      <c r="X210" s="3">
        <v>191.85394861111101</v>
      </c>
      <c r="Y210" s="3">
        <v>98.813999999999993</v>
      </c>
      <c r="Z210" s="3">
        <v>8.3908208333333292</v>
      </c>
      <c r="AA210" s="3">
        <v>5.5034722222222197</v>
      </c>
      <c r="AB210" s="3"/>
      <c r="AC210" s="3">
        <v>3.2833333333333332</v>
      </c>
      <c r="AD210" s="3">
        <v>4.2166666666666668</v>
      </c>
      <c r="AE210" s="48">
        <v>3.05</v>
      </c>
      <c r="AF210" s="48">
        <v>2.1666666666666665</v>
      </c>
      <c r="AG210" s="3">
        <v>1.3266666666666667</v>
      </c>
      <c r="AH210" s="3"/>
      <c r="AI210" s="6">
        <f t="shared" si="14"/>
        <v>4818.480462456273</v>
      </c>
      <c r="AJ210" s="6">
        <f t="shared" si="15"/>
        <v>4.6268252595977541</v>
      </c>
      <c r="AK210" s="3">
        <v>3.0233333333333334</v>
      </c>
      <c r="AL210" s="3">
        <v>2.6766666666666676</v>
      </c>
      <c r="AM210" s="3">
        <v>1.9466666666666665</v>
      </c>
      <c r="AN210" s="3">
        <v>1.01</v>
      </c>
      <c r="AO210" s="3">
        <v>0.28666666666666668</v>
      </c>
      <c r="AP210" s="3"/>
      <c r="AQ210" s="3">
        <v>56.393333333333331</v>
      </c>
      <c r="AR210" s="3">
        <v>57.839999999999982</v>
      </c>
      <c r="AS210" s="3">
        <v>61.073333333333338</v>
      </c>
      <c r="AT210" s="3">
        <v>69.423333333333332</v>
      </c>
      <c r="AU210" s="3">
        <v>67.433333333333337</v>
      </c>
      <c r="AV210" s="3"/>
      <c r="BB210" s="43">
        <v>1.92</v>
      </c>
      <c r="BC210" s="23">
        <v>-1.3</v>
      </c>
    </row>
    <row r="211" spans="1:55" ht="15" thickBot="1">
      <c r="A211" s="20">
        <v>45261</v>
      </c>
      <c r="B211" s="3">
        <v>9.278897849462366</v>
      </c>
      <c r="C211" s="3">
        <v>8.1518817204301079</v>
      </c>
      <c r="D211" s="3">
        <v>7.0793010752688099</v>
      </c>
      <c r="E211" s="3">
        <v>5.561827956989247</v>
      </c>
      <c r="F211" s="3">
        <v>4.7494623655914001</v>
      </c>
      <c r="H211" s="6">
        <f t="shared" si="16"/>
        <v>5352.7740488071049</v>
      </c>
      <c r="I211" s="6">
        <f t="shared" si="17"/>
        <v>5.7170666171421232</v>
      </c>
      <c r="J211" s="3">
        <v>7.9010752688171815</v>
      </c>
      <c r="K211" s="3">
        <v>6.5103494623655696</v>
      </c>
      <c r="L211" s="3">
        <v>5.8532258064516203</v>
      </c>
      <c r="M211" s="3">
        <v>4.6806451612903359</v>
      </c>
      <c r="N211" s="3">
        <v>4.0719086021505513</v>
      </c>
      <c r="P211" s="3">
        <v>92.101747311828063</v>
      </c>
      <c r="Q211" s="3">
        <v>89.926344086021743</v>
      </c>
      <c r="R211" s="3">
        <v>92.627553763441185</v>
      </c>
      <c r="S211" s="3">
        <v>94.445967741935604</v>
      </c>
      <c r="T211" s="3">
        <v>95.250537634408531</v>
      </c>
      <c r="V211" s="3">
        <v>0.25982149971594998</v>
      </c>
      <c r="W211" s="3">
        <v>0.25982149971594998</v>
      </c>
      <c r="X211" s="3">
        <v>174.93474462365501</v>
      </c>
      <c r="Y211" s="3">
        <v>126.253</v>
      </c>
      <c r="Z211" s="3">
        <v>9.3581787634408595</v>
      </c>
      <c r="AA211" s="3">
        <v>7.6372311827956896</v>
      </c>
      <c r="AB211" s="3"/>
      <c r="AC211" s="3">
        <v>5.693548387096774</v>
      </c>
      <c r="AD211" s="3">
        <v>5.467741935483871</v>
      </c>
      <c r="AE211" s="48">
        <v>4.5483870967741939</v>
      </c>
      <c r="AF211" s="48">
        <v>3.467741935483871</v>
      </c>
      <c r="AG211" s="3">
        <v>2.5516129032258061</v>
      </c>
      <c r="AH211" s="3"/>
      <c r="AI211" s="6">
        <f t="shared" si="14"/>
        <v>5083.6244787864543</v>
      </c>
      <c r="AJ211" s="6">
        <f t="shared" si="15"/>
        <v>4.7881584870989515</v>
      </c>
      <c r="AK211" s="3">
        <v>5.6451612903225801</v>
      </c>
      <c r="AL211" s="3">
        <v>4.919354838709677</v>
      </c>
      <c r="AM211" s="3">
        <v>4.1709677419354838</v>
      </c>
      <c r="AN211" s="3">
        <v>3.1483870967741958</v>
      </c>
      <c r="AO211" s="3">
        <v>2.3612903225806452</v>
      </c>
      <c r="AP211" s="3"/>
      <c r="AQ211" s="3">
        <v>67.099999999999994</v>
      </c>
      <c r="AR211" s="3">
        <v>65.612903225806434</v>
      </c>
      <c r="AS211" s="3">
        <v>71.809677419354855</v>
      </c>
      <c r="AT211" s="3">
        <v>79.093548387096789</v>
      </c>
      <c r="AU211" s="3">
        <v>77.812903225806437</v>
      </c>
      <c r="AV211" s="3"/>
      <c r="BB211" s="43">
        <v>1.95</v>
      </c>
      <c r="BC211" s="23">
        <v>-0.4</v>
      </c>
    </row>
    <row r="212" spans="1:55" ht="15" thickBot="1">
      <c r="A212" s="20">
        <v>45292</v>
      </c>
      <c r="B212" s="3">
        <v>9.6317204301075261</v>
      </c>
      <c r="C212" s="3">
        <v>8.4536290322580641</v>
      </c>
      <c r="D212" s="3">
        <v>7.4088709677419278</v>
      </c>
      <c r="E212" s="3">
        <v>5.825268817204301</v>
      </c>
      <c r="F212" s="3">
        <v>5.0166666666666666</v>
      </c>
      <c r="H212" s="6">
        <f t="shared" si="16"/>
        <v>5385.0919086413651</v>
      </c>
      <c r="I212" s="6">
        <f t="shared" si="17"/>
        <v>5.804383876657746</v>
      </c>
      <c r="J212" s="3">
        <v>7.9278225806451301</v>
      </c>
      <c r="K212" s="3">
        <v>6.500403225806453</v>
      </c>
      <c r="L212" s="3">
        <v>5.858870967741943</v>
      </c>
      <c r="M212" s="3">
        <v>4.7137096774193594</v>
      </c>
      <c r="N212" s="3">
        <v>4.0583333333333451</v>
      </c>
      <c r="P212" s="3">
        <v>90.245698924731286</v>
      </c>
      <c r="Q212" s="3">
        <v>88.251344086021504</v>
      </c>
      <c r="R212" s="3">
        <v>90.729569892473222</v>
      </c>
      <c r="S212" s="3">
        <v>93.031720430107754</v>
      </c>
      <c r="T212" s="3">
        <v>93.600268817204224</v>
      </c>
      <c r="V212" s="3">
        <v>0.33621364276230398</v>
      </c>
      <c r="W212" s="3">
        <v>0.33621364276230398</v>
      </c>
      <c r="X212" s="3">
        <v>198.126455645161</v>
      </c>
      <c r="Y212" s="3">
        <v>95.766999999999996</v>
      </c>
      <c r="Z212" s="3">
        <v>9.6941572580645108</v>
      </c>
      <c r="AA212" s="3">
        <v>7.6397849462365501</v>
      </c>
      <c r="AB212" s="3"/>
      <c r="AC212" s="3">
        <v>5.5</v>
      </c>
      <c r="AD212" s="3">
        <v>5.612903225806452</v>
      </c>
      <c r="AE212" s="48">
        <v>4.6999999999999993</v>
      </c>
      <c r="AF212" s="48">
        <v>3.5483870967741935</v>
      </c>
      <c r="AG212" s="3">
        <v>2.8322580645161288</v>
      </c>
      <c r="AH212" s="3"/>
      <c r="AI212" s="6">
        <f t="shared" si="14"/>
        <v>5143.0723817810094</v>
      </c>
      <c r="AJ212" s="6">
        <f t="shared" si="15"/>
        <v>4.6240165196202669</v>
      </c>
      <c r="AK212" s="3">
        <v>5.5290322580645155</v>
      </c>
      <c r="AL212" s="3">
        <v>4.8935483870967751</v>
      </c>
      <c r="AM212" s="3">
        <v>4.1935483870967758</v>
      </c>
      <c r="AN212" s="3">
        <v>3.1258064516129034</v>
      </c>
      <c r="AO212" s="3">
        <v>2.3290322580645162</v>
      </c>
      <c r="AP212" s="3"/>
      <c r="AQ212" s="3">
        <v>62.825806451612905</v>
      </c>
      <c r="AR212" s="3">
        <v>65.974193548387092</v>
      </c>
      <c r="AS212" s="3">
        <v>69.43870967741934</v>
      </c>
      <c r="AT212" s="3">
        <v>78.519354838709674</v>
      </c>
      <c r="AU212" s="3">
        <v>77.900000000000006</v>
      </c>
      <c r="BB212" s="43">
        <v>1.79</v>
      </c>
      <c r="BC212" s="23">
        <v>0.8</v>
      </c>
    </row>
    <row r="213" spans="1:55" ht="15" thickBot="1">
      <c r="A213" s="20">
        <v>45323</v>
      </c>
      <c r="B213" s="3">
        <v>9.2981321839080469</v>
      </c>
      <c r="C213" s="3">
        <v>8.2600574712643677</v>
      </c>
      <c r="D213" s="3">
        <v>6.8617816091953987</v>
      </c>
      <c r="E213" s="3">
        <v>5.4037356321839081</v>
      </c>
      <c r="F213" s="3">
        <v>4.6123563218390817</v>
      </c>
      <c r="H213" s="6">
        <f t="shared" si="16"/>
        <v>5268.217532990685</v>
      </c>
      <c r="I213" s="6">
        <f t="shared" si="17"/>
        <v>6.020988403754588</v>
      </c>
      <c r="J213" s="3">
        <v>6.7173850574712546</v>
      </c>
      <c r="K213" s="3">
        <v>4.8991379310344847</v>
      </c>
      <c r="L213" s="3">
        <v>4.246264367816095</v>
      </c>
      <c r="M213" s="3">
        <v>3.273419540229888</v>
      </c>
      <c r="N213" s="3">
        <v>2.4734195402298869</v>
      </c>
      <c r="P213" s="3">
        <v>86.204022988505827</v>
      </c>
      <c r="Q213" s="3">
        <v>81.110775862068905</v>
      </c>
      <c r="R213" s="3">
        <v>85.064511494253011</v>
      </c>
      <c r="S213" s="3">
        <v>87.609482758620743</v>
      </c>
      <c r="T213" s="3">
        <v>87.547126436781497</v>
      </c>
      <c r="V213" s="3">
        <v>7.9476354878642005E-2</v>
      </c>
      <c r="W213" s="3">
        <v>7.9476354878642005E-2</v>
      </c>
      <c r="X213" s="3">
        <v>201.135524425287</v>
      </c>
      <c r="Y213" s="3">
        <v>115.842</v>
      </c>
      <c r="Z213" s="3">
        <v>9.3484770114942499</v>
      </c>
      <c r="AA213" s="3">
        <v>6.4277298850574702</v>
      </c>
      <c r="AB213" s="3"/>
      <c r="AC213" s="3">
        <v>4.4137931034482758</v>
      </c>
      <c r="AD213" s="3">
        <v>4.8448275862068968</v>
      </c>
      <c r="AE213" s="3">
        <v>3.6517241379310348</v>
      </c>
      <c r="AF213" s="3">
        <v>2.6724137931034484</v>
      </c>
      <c r="AG213" s="3">
        <v>1.8724137931034484</v>
      </c>
      <c r="AH213" s="3"/>
      <c r="AI213" s="6">
        <f t="shared" si="14"/>
        <v>4914.8353549394242</v>
      </c>
      <c r="AJ213" s="6">
        <f t="shared" si="15"/>
        <v>4.7953635547914493</v>
      </c>
      <c r="AK213" s="3">
        <v>3.8931034482758626</v>
      </c>
      <c r="AL213" s="3">
        <v>3.0206896551724141</v>
      </c>
      <c r="AM213" s="3">
        <v>2.1965517241379309</v>
      </c>
      <c r="AN213" s="3">
        <v>1.0827586206896551</v>
      </c>
      <c r="AO213" s="3">
        <v>-0.13448275862068987</v>
      </c>
      <c r="AP213" s="3"/>
      <c r="AQ213" s="3">
        <v>55.80344827586206</v>
      </c>
      <c r="AR213" s="3">
        <v>57.682758620689661</v>
      </c>
      <c r="AS213" s="3">
        <v>64.203448275862073</v>
      </c>
      <c r="AT213" s="3">
        <v>72.382758620689657</v>
      </c>
      <c r="AU213" s="3">
        <v>69.244827586206895</v>
      </c>
      <c r="BB213" s="43">
        <v>1.49</v>
      </c>
      <c r="BC213" s="23">
        <v>-2.2999999999999998</v>
      </c>
    </row>
    <row r="214" spans="1:55" ht="15" thickBot="1">
      <c r="A214" s="20">
        <v>45352</v>
      </c>
      <c r="B214" s="3">
        <v>9.327956989247312</v>
      </c>
      <c r="C214" s="3">
        <v>8.43010752688172</v>
      </c>
      <c r="D214" s="3">
        <v>7.1447580645161226</v>
      </c>
      <c r="E214" s="3">
        <v>5.637768817204301</v>
      </c>
      <c r="F214" s="3">
        <v>4.7936827956989259</v>
      </c>
      <c r="H214" s="6">
        <f t="shared" si="16"/>
        <v>5308.2962832495832</v>
      </c>
      <c r="I214" s="6">
        <f t="shared" si="17"/>
        <v>6.0393445016884568</v>
      </c>
      <c r="J214" s="3">
        <v>7.0587365591397635</v>
      </c>
      <c r="K214" s="3">
        <v>5.3280913978494686</v>
      </c>
      <c r="L214" s="3">
        <v>4.7475806451612943</v>
      </c>
      <c r="M214" s="3">
        <v>3.7118279569892492</v>
      </c>
      <c r="N214" s="3">
        <v>3.0147849462365657</v>
      </c>
      <c r="P214" s="3">
        <v>87.520430107527019</v>
      </c>
      <c r="Q214" s="3">
        <v>82.41948924731193</v>
      </c>
      <c r="R214" s="3">
        <v>86.133870967742055</v>
      </c>
      <c r="S214" s="3">
        <v>88.430107526881784</v>
      </c>
      <c r="T214" s="3">
        <v>89.025537634408551</v>
      </c>
      <c r="V214" s="3">
        <v>0.13540486792343701</v>
      </c>
      <c r="W214" s="3">
        <v>0.13540486792343701</v>
      </c>
      <c r="X214" s="3">
        <v>194.58249462365501</v>
      </c>
      <c r="Y214" s="3">
        <v>93.480999999999995</v>
      </c>
      <c r="Z214" s="3">
        <v>9.4570913978494602</v>
      </c>
      <c r="AA214" s="3">
        <v>6.7186827956989204</v>
      </c>
      <c r="AB214" s="3"/>
      <c r="AC214" s="3">
        <v>4.774193548387097</v>
      </c>
      <c r="AD214" s="3">
        <v>5.306451612903226</v>
      </c>
      <c r="AE214" s="3">
        <v>4.096774193548387</v>
      </c>
      <c r="AF214" s="3">
        <v>3.161290322580645</v>
      </c>
      <c r="AG214" s="3">
        <v>2.4</v>
      </c>
      <c r="AH214" s="3"/>
      <c r="AI214" s="6">
        <f t="shared" si="14"/>
        <v>5029.2687835116667</v>
      </c>
      <c r="AJ214" s="6">
        <f t="shared" si="15"/>
        <v>4.6738321970169441</v>
      </c>
      <c r="AK214" s="3">
        <v>4.532258064516129</v>
      </c>
      <c r="AL214" s="3">
        <v>3.3935483870967742</v>
      </c>
      <c r="AM214" s="3">
        <v>2.7483870967741941</v>
      </c>
      <c r="AN214" s="3">
        <v>1.6516129032258062</v>
      </c>
      <c r="AO214" s="3">
        <v>0.69999999999999984</v>
      </c>
      <c r="AP214" s="3"/>
      <c r="AQ214" s="3">
        <v>60.048387096774192</v>
      </c>
      <c r="AR214" s="3">
        <v>61.316129032258061</v>
      </c>
      <c r="AS214" s="3">
        <v>66.199999999999989</v>
      </c>
      <c r="AT214" s="3">
        <v>74.141935483870967</v>
      </c>
      <c r="AU214" s="3">
        <v>73.961290322580624</v>
      </c>
      <c r="BB214" s="43">
        <v>1.1399999999999999</v>
      </c>
      <c r="BC214" s="23">
        <v>0.6</v>
      </c>
    </row>
    <row r="215" spans="1:55" ht="15" thickBot="1">
      <c r="A215" s="20">
        <v>45383</v>
      </c>
      <c r="B215" s="3">
        <v>9.3812499999999996</v>
      </c>
      <c r="C215" s="3">
        <v>8.4006944444444436</v>
      </c>
      <c r="D215" s="3">
        <v>7.1079166666666627</v>
      </c>
      <c r="E215" s="3">
        <v>5.7249999999999996</v>
      </c>
      <c r="F215" s="3">
        <v>4.9324999999999992</v>
      </c>
      <c r="H215" s="6">
        <f t="shared" si="16"/>
        <v>5369.2479331533732</v>
      </c>
      <c r="I215" s="6">
        <f t="shared" si="17"/>
        <v>5.7262845562955267</v>
      </c>
      <c r="J215" s="3">
        <v>7.1280555555555418</v>
      </c>
      <c r="K215" s="3">
        <v>5.5147222222222245</v>
      </c>
      <c r="L215" s="3">
        <v>4.9063888888888902</v>
      </c>
      <c r="M215" s="3">
        <v>3.9409722222222228</v>
      </c>
      <c r="N215" s="3">
        <v>3.2219444444444498</v>
      </c>
      <c r="P215" s="3">
        <v>87.66069444444463</v>
      </c>
      <c r="Q215" s="3">
        <v>83.591388888888957</v>
      </c>
      <c r="R215" s="3">
        <v>87.229444444444567</v>
      </c>
      <c r="S215" s="3">
        <v>89.081666666666734</v>
      </c>
      <c r="T215" s="3">
        <v>89.194027777777862</v>
      </c>
      <c r="V215" s="3">
        <v>0.16823227510847799</v>
      </c>
      <c r="W215" s="3">
        <v>0.16823227510847799</v>
      </c>
      <c r="X215" s="3">
        <v>189.67534583333301</v>
      </c>
      <c r="Y215" s="3">
        <v>78.238</v>
      </c>
      <c r="Z215" s="3">
        <v>9.4234902777777698</v>
      </c>
      <c r="AA215" s="3">
        <v>6.8187499999999996</v>
      </c>
      <c r="AB215" s="3"/>
      <c r="AC215" s="3">
        <v>4.3833333333333337</v>
      </c>
      <c r="AD215" s="3">
        <v>5.05</v>
      </c>
      <c r="AE215" s="3">
        <v>3.86</v>
      </c>
      <c r="AF215" s="3">
        <v>3.1</v>
      </c>
      <c r="AG215" s="3">
        <v>2.4266666666666667</v>
      </c>
      <c r="AH215" s="3"/>
      <c r="AI215" s="6">
        <f t="shared" si="14"/>
        <v>5081.9116965957455</v>
      </c>
      <c r="AJ215" s="6">
        <f t="shared" si="15"/>
        <v>4.1668170892750265</v>
      </c>
      <c r="AK215" s="3">
        <v>4.2800000000000011</v>
      </c>
      <c r="AL215" s="3">
        <v>3.6933333333333347</v>
      </c>
      <c r="AM215" s="3">
        <v>3.0433333333333334</v>
      </c>
      <c r="AN215" s="3">
        <v>2.2166666666666672</v>
      </c>
      <c r="AO215" s="3">
        <v>1.3699999999999999</v>
      </c>
      <c r="AP215" s="3"/>
      <c r="AQ215" s="3">
        <v>58.46666666666669</v>
      </c>
      <c r="AR215" s="3">
        <v>57.016666666666652</v>
      </c>
      <c r="AS215" s="3">
        <v>61.36333333333333</v>
      </c>
      <c r="AT215" s="3">
        <v>71.376666666666651</v>
      </c>
      <c r="AU215" s="3">
        <v>70.680000000000021</v>
      </c>
      <c r="BB215" s="43">
        <v>0.71</v>
      </c>
      <c r="BC215" s="23">
        <v>-0.3</v>
      </c>
    </row>
    <row r="216" spans="1:55" ht="15" thickBot="1">
      <c r="A216" s="20">
        <v>45413</v>
      </c>
      <c r="B216" s="3">
        <v>8.918010752688172</v>
      </c>
      <c r="C216" s="3">
        <v>9.1377688172043019</v>
      </c>
      <c r="D216" s="3">
        <v>7.4220430107526845</v>
      </c>
      <c r="E216" s="3">
        <v>6.248655913978495</v>
      </c>
      <c r="F216" s="3">
        <v>5.3665322580645141</v>
      </c>
      <c r="H216" s="6">
        <f t="shared" si="16"/>
        <v>5369.5746714749675</v>
      </c>
      <c r="I216" s="6">
        <f t="shared" si="17"/>
        <v>6.0307405327994354</v>
      </c>
      <c r="J216" s="3">
        <v>5.8135752688171882</v>
      </c>
      <c r="K216" s="3">
        <v>3.9427419354838715</v>
      </c>
      <c r="L216" s="3">
        <v>3.3592741935483881</v>
      </c>
      <c r="M216" s="3">
        <v>2.53494623655914</v>
      </c>
      <c r="N216" s="3">
        <v>1.8212365591397857</v>
      </c>
      <c r="P216" s="3">
        <v>83.778897849462496</v>
      </c>
      <c r="Q216" s="3">
        <v>73.114784946236512</v>
      </c>
      <c r="R216" s="3">
        <v>78.388709677419385</v>
      </c>
      <c r="S216" s="3">
        <v>79.194623655914</v>
      </c>
      <c r="T216" s="3">
        <v>79.924059139784973</v>
      </c>
      <c r="V216" s="3">
        <v>0.10721584494528499</v>
      </c>
      <c r="W216" s="3">
        <v>0.10721584494528499</v>
      </c>
      <c r="X216" s="3">
        <v>182.925115591397</v>
      </c>
      <c r="Y216" s="3">
        <v>36.579000000000001</v>
      </c>
      <c r="Z216" s="3">
        <v>9.0176330645161293</v>
      </c>
      <c r="AA216" s="3">
        <v>5.5209677419354799</v>
      </c>
      <c r="AB216" s="3"/>
      <c r="AC216" s="3">
        <v>2.935483870967742</v>
      </c>
      <c r="AD216" s="3">
        <v>5.112903225806452</v>
      </c>
      <c r="AE216" s="3">
        <v>3.467741935483871</v>
      </c>
      <c r="AF216" s="3">
        <v>3.2419354838709675</v>
      </c>
      <c r="AG216" s="3">
        <v>2.2161290322580642</v>
      </c>
      <c r="AH216" s="3"/>
      <c r="AI216" s="6">
        <f t="shared" si="14"/>
        <v>4976.9978692017703</v>
      </c>
      <c r="AJ216" s="6">
        <f t="shared" si="15"/>
        <v>4.259477926797465</v>
      </c>
      <c r="AK216" s="3">
        <v>2.8516129032258068</v>
      </c>
      <c r="AL216" s="3">
        <v>1.9387096774193548</v>
      </c>
      <c r="AM216" s="3">
        <v>1.4096774193548389</v>
      </c>
      <c r="AN216" s="3">
        <v>0.55161290322580647</v>
      </c>
      <c r="AO216" s="3">
        <v>-0.74838709677419368</v>
      </c>
      <c r="AP216" s="3"/>
      <c r="AQ216" s="3">
        <v>50.770967741935507</v>
      </c>
      <c r="AR216" s="3">
        <v>45.638709677419364</v>
      </c>
      <c r="AS216" s="3">
        <v>48.922580645161283</v>
      </c>
      <c r="AT216" s="3">
        <v>57.141935483870959</v>
      </c>
      <c r="AU216" s="3">
        <v>55.3032258064516</v>
      </c>
      <c r="BB216" s="41">
        <v>0.4</v>
      </c>
      <c r="BC216" s="23">
        <v>0.8</v>
      </c>
    </row>
    <row r="217" spans="1:55" ht="15" thickBot="1">
      <c r="A217" s="20">
        <v>45444</v>
      </c>
      <c r="B217" s="3">
        <v>9.7941176470588243</v>
      </c>
      <c r="C217" s="3">
        <v>11.0625</v>
      </c>
      <c r="D217" s="3">
        <v>8.1941176470588246</v>
      </c>
      <c r="E217" s="3">
        <v>7.382352941176471</v>
      </c>
      <c r="F217" s="3">
        <v>6.1000000000000005</v>
      </c>
      <c r="H217" s="6">
        <f>INTERCEPT($C$2:$F$2,C217:F217)</f>
        <v>5222.8134502464009</v>
      </c>
      <c r="I217" s="6">
        <f t="shared" si="17"/>
        <v>7.5084294873765165</v>
      </c>
      <c r="J217" s="3">
        <v>-0.14705882352941177</v>
      </c>
      <c r="K217" s="3">
        <v>-4.9294117647058826</v>
      </c>
      <c r="L217" s="3">
        <v>-5.5823529411764721</v>
      </c>
      <c r="M217" s="3">
        <v>-6.5352941176470605</v>
      </c>
      <c r="N217" s="3">
        <v>-8.4882352941176489</v>
      </c>
      <c r="P217" s="3">
        <v>56.905882352941177</v>
      </c>
      <c r="Q217" s="3">
        <v>35.643750000000011</v>
      </c>
      <c r="R217" s="3">
        <v>40.129411764705885</v>
      </c>
      <c r="S217" s="3">
        <v>38.464705882352945</v>
      </c>
      <c r="T217" s="3">
        <v>36.347058823529416</v>
      </c>
      <c r="V217" s="3">
        <v>2.4033321808862198E-3</v>
      </c>
      <c r="W217" s="3">
        <v>2.4033321808862198E-3</v>
      </c>
      <c r="X217" s="3">
        <v>162.23349763779501</v>
      </c>
      <c r="Y217" s="3">
        <v>4.0640000000000001</v>
      </c>
      <c r="Z217" s="3">
        <v>7.6250267716535403</v>
      </c>
      <c r="AA217" s="3">
        <v>2.33070866141732</v>
      </c>
      <c r="AB217" s="3"/>
      <c r="AC217">
        <v>0</v>
      </c>
      <c r="AD217">
        <v>4.5</v>
      </c>
      <c r="AE217">
        <v>2.5</v>
      </c>
      <c r="AF217">
        <v>3</v>
      </c>
      <c r="AG217">
        <v>-1.7</v>
      </c>
      <c r="AI217" s="6">
        <f t="shared" si="14"/>
        <v>4428.6551316877285</v>
      </c>
      <c r="AJ217" s="6">
        <f t="shared" si="15"/>
        <v>8.754120787771118</v>
      </c>
      <c r="BB217" s="41">
        <v>0.15</v>
      </c>
      <c r="BC217" s="23">
        <v>0.1</v>
      </c>
    </row>
    <row r="218" spans="1:55" ht="15" thickBot="1">
      <c r="A218" s="20">
        <v>45474</v>
      </c>
      <c r="BB218" s="41">
        <v>0.04</v>
      </c>
      <c r="BC218" s="23">
        <v>-1.2</v>
      </c>
    </row>
    <row r="219" spans="1:55" ht="15" thickBot="1">
      <c r="A219" s="20">
        <v>45505</v>
      </c>
      <c r="BB219" s="41">
        <v>-0.11</v>
      </c>
      <c r="BC219" s="23">
        <v>1.5</v>
      </c>
    </row>
    <row r="220" spans="1:55" ht="15" thickBot="1">
      <c r="A220" s="20">
        <v>45536</v>
      </c>
      <c r="BB220" s="41">
        <v>-0.22</v>
      </c>
      <c r="BC220" s="23">
        <v>-0.2</v>
      </c>
    </row>
    <row r="221" spans="1:55" ht="15" thickBot="1">
      <c r="A221" s="20">
        <v>45566</v>
      </c>
      <c r="BB221" s="44"/>
      <c r="BC221" s="23"/>
    </row>
    <row r="222" spans="1:55" ht="15" thickBot="1">
      <c r="A222" s="20">
        <v>45597</v>
      </c>
    </row>
    <row r="223" spans="1:55" ht="15" thickBot="1">
      <c r="A223" s="20">
        <v>45627</v>
      </c>
    </row>
    <row r="224" spans="1:55" ht="15" thickBot="1">
      <c r="A224" s="20">
        <v>45658</v>
      </c>
    </row>
    <row r="225" spans="1:1" ht="15" thickBot="1">
      <c r="A225" s="20">
        <v>45689</v>
      </c>
    </row>
    <row r="226" spans="1:1" ht="15" thickBot="1">
      <c r="A226" s="20">
        <v>45717</v>
      </c>
    </row>
    <row r="227" spans="1:1" ht="15" thickBot="1">
      <c r="A227" s="20">
        <v>45748</v>
      </c>
    </row>
    <row r="228" spans="1:1" ht="15" thickBot="1">
      <c r="A228" s="20">
        <v>45778</v>
      </c>
    </row>
    <row r="229" spans="1:1" ht="15" thickBot="1">
      <c r="A229" s="20">
        <v>45809</v>
      </c>
    </row>
    <row r="243" spans="31:34" ht="14.4">
      <c r="AE243" s="45"/>
      <c r="AF243" s="45"/>
      <c r="AG243" s="45"/>
      <c r="AH243" s="45"/>
    </row>
    <row r="244" spans="31:34" ht="14.4">
      <c r="AE244" s="45"/>
      <c r="AF244" s="45"/>
      <c r="AG244" s="45"/>
      <c r="AH244" s="45"/>
    </row>
    <row r="245" spans="31:34" ht="14.4">
      <c r="AE245" s="45"/>
      <c r="AF245" s="45"/>
      <c r="AG245" s="45"/>
      <c r="AH245" s="45"/>
    </row>
    <row r="246" spans="31:34" ht="14.4">
      <c r="AE246" s="45"/>
      <c r="AF246" s="45"/>
      <c r="AG246" s="45"/>
      <c r="AH246" s="45"/>
    </row>
    <row r="247" spans="31:34" ht="14.4">
      <c r="AE247" s="45"/>
      <c r="AF247" s="45"/>
      <c r="AG247" s="45"/>
      <c r="AH247" s="45"/>
    </row>
  </sheetData>
  <phoneticPr fontId="19" type="noConversion"/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48ec3bf8-d165-4eab-bbee-f8d5307f46e1}" enabled="0" method="" siteId="{48ec3bf8-d165-4eab-bbee-f8d5307f46e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Monthly_Temp_LRs_FLs</vt:lpstr>
    </vt:vector>
  </TitlesOfParts>
  <Company>Bridgewater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Hellstrom, Robert</dc:creator>
  <cp:lastModifiedBy>Sohn, Grace</cp:lastModifiedBy>
  <dcterms:created xsi:type="dcterms:W3CDTF">2025-09-07T17:45:03Z</dcterms:created>
  <dcterms:modified xsi:type="dcterms:W3CDTF">2026-03-19T16:17:21Z</dcterms:modified>
</cp:coreProperties>
</file>